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Master Prompt" sheetId="2" state="visible" r:id="rId4"/>
    <sheet name="2. Corrections Log" sheetId="3" state="visible" r:id="rId5"/>
    <sheet name="3. Scorecard" sheetId="4" state="visible" r:id="rId6"/>
    <sheet name="4. Execution Plan" sheetId="5" state="visible" r:id="rId7"/>
    <sheet name="4b. Live Validation" sheetId="6" state="visible" r:id="rId8"/>
    <sheet name="5. Recurring Giving" sheetId="7" state="visible" r:id="rId9"/>
    <sheet name="6. CSR Readiness" sheetId="8" state="visible" r:id="rId10"/>
    <sheet name="7. Competitor Benchmark" sheetId="9" state="visible" r:id="rId11"/>
    <sheet name="8. Donor Personas" sheetId="10" state="visible" r:id="rId12"/>
    <sheet name="9. Donor Psychology" sheetId="11" state="visible" r:id="rId13"/>
    <sheet name="10. Growth Strategy" sheetId="12" state="visible" r:id="rId14"/>
    <sheet name="11. Growth Math" sheetId="13" state="visible" r:id="rId15"/>
    <sheet name="12. 12-Month Plan" sheetId="14" state="visible" r:id="rId16"/>
    <sheet name="13. 24-Month Vision" sheetId="15" state="visible" r:id="rId17"/>
    <sheet name="14. Payment Test Runbook" sheetId="16" state="visible" r:id="rId18"/>
    <sheet name="15. Group A Build Kit" sheetId="17" state="visible" r:id="rId19"/>
    <sheet name="16. Guardian Circle" sheetId="18" state="visible" r:id="rId20"/>
    <sheet name="17. Donor Data Analysis" sheetId="19" state="visible" r:id="rId21"/>
  </sheets>
  <definedNames>
    <definedName function="false" hidden="true" localSheetId="4" name="_xlnm._FilterDatabase" vbProcedure="false">'4. Execution Plan'!$A$4:$M$24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<sst xmlns="http://schemas.openxmlformats.org/spreadsheetml/2006/main" count="816" uniqueCount="703">
  <si>
    <t xml:space="preserve">RKM FOUNDATION</t>
  </si>
  <si>
    <t xml:space="preserve">Donor-Trust Audit  +  Strategic Growth Blueprint</t>
  </si>
  <si>
    <t xml:space="preserve">Updated 19 June 2026  ·  Live-site &amp; checkout verified in a rendered browser  ·  Source: rkmfoundation.com</t>
  </si>
  <si>
    <t xml:space="preserve">What changed</t>
  </si>
  <si>
    <t xml:space="preserve">This version is double-checked. I re-rendered the site in a real browser and tested the donate flow with ₹1,000. Several round-1 findings were wrong because I'd judged the non-rendered HTML — they're corrected here (see 'Corrections Log'). It also adds a full strategic growth layer beyond the website.</t>
  </si>
  <si>
    <t xml:space="preserve">Two layers</t>
  </si>
  <si>
    <t xml:space="preserve">LAYER 1 = the website/donor-trust audit (Scorecard, Execution Plan, deep dives). LAYER 2 = the organisational growth blueprint you asked for (Donor Psychology, 8 Strategies, Growth Math, 12-month plan, 24-month vision) — organisational and fundraising, not website bugs.</t>
  </si>
  <si>
    <t xml:space="preserve">On accuracy</t>
  </si>
  <si>
    <t xml:space="preserve">Every claim here was checked against the live site on 19 Jun 2026. Where I could not verify something safely (e.g. completing a real payment), it is labelled as unverified rather than asserted. Items needing your confirmation are flagged.</t>
  </si>
  <si>
    <t xml:space="preserve">Next step</t>
  </si>
  <si>
    <t xml:space="preserve">Tell me which actions to start and I'll implement them. The Execution Plan has a Status column to track it.</t>
  </si>
  <si>
    <t xml:space="preserve">Tabs</t>
  </si>
  <si>
    <t xml:space="preserve">1. Master Prompt</t>
  </si>
  <si>
    <t xml:space="preserve">The improved, copy-paste audit prompt.</t>
  </si>
  <si>
    <t xml:space="preserve">2. Corrections Log</t>
  </si>
  <si>
    <t xml:space="preserve">What I re-verified and changed since round 1 — read this first.</t>
  </si>
  <si>
    <t xml:space="preserve">3. Scorecard</t>
  </si>
  <si>
    <t xml:space="preserve">Each dimension scored 1-10 vs best-in-class (revised after verification).</t>
  </si>
  <si>
    <t xml:space="preserve">4. Execution Plan</t>
  </si>
  <si>
    <t xml:space="preserve">Prioritized fixes — incl. the donation-checkout issue. The working list.</t>
  </si>
  <si>
    <t xml:space="preserve">4b. Live Validation</t>
  </si>
  <si>
    <t xml:space="preserve">Browser-verified donor-journey &amp; payment findings, each with a validation source.</t>
  </si>
  <si>
    <t xml:space="preserve">5. Recurring Giving</t>
  </si>
  <si>
    <t xml:space="preserve">Deep dive on the biggest lever: monthly donors.</t>
  </si>
  <si>
    <t xml:space="preserve">6. CSR Readiness</t>
  </si>
  <si>
    <t xml:space="preserve">What a CSR head needs before ₹25L / ₹1Cr / ₹5Cr.</t>
  </si>
  <si>
    <t xml:space="preserve">7. Competitor Benchmark</t>
  </si>
  <si>
    <t xml:space="preserve">What world-class trust orgs do that RKM doesn't yet.</t>
  </si>
  <si>
    <t xml:space="preserve">8. Donor Personas</t>
  </si>
  <si>
    <t xml:space="preserve">Nine donors on the live site — question and gap.</t>
  </si>
  <si>
    <t xml:space="preserve">— LAYER 2: STRATEGY —</t>
  </si>
  <si>
    <t xml:space="preserve">9. Donor Psychology</t>
  </si>
  <si>
    <t xml:space="preserve">Why people donate / don't / go monthly / trust this NGO.</t>
  </si>
  <si>
    <t xml:space="preserve">10. Growth Strategy</t>
  </si>
  <si>
    <t xml:space="preserve">8 strategies: trust, donation, recurring, CSR, volunteer, fundraiser, storytelling, brand.</t>
  </si>
  <si>
    <t xml:space="preserve">11. Growth Math</t>
  </si>
  <si>
    <t xml:space="preserve">Where +25% / +50% / +100% / +300% actually comes from.</t>
  </si>
  <si>
    <t xml:space="preserve">12. 12-Month Plan</t>
  </si>
  <si>
    <t xml:space="preserve">Quarter-by-quarter execution.</t>
  </si>
  <si>
    <t xml:space="preserve">13. 24-Month Vision</t>
  </si>
  <si>
    <t xml:space="preserve">Where RKM stands in two years if this works.</t>
  </si>
  <si>
    <t xml:space="preserve">— EXECUTION PACK —</t>
  </si>
  <si>
    <t xml:space="preserve">14. Payment Test Runbook</t>
  </si>
  <si>
    <t xml:space="preserve">Run FIRST: ₹100 test scripts + Razorpay UPI-Autopay verify/enable. Go/no-go before touching payments.</t>
  </si>
  <si>
    <t xml:space="preserve">15. Group A Build Kit</t>
  </si>
  <si>
    <t xml:space="preserve">The 8 low-risk wins as build-ready briefs — hand straight to a designer/dev.</t>
  </si>
  <si>
    <t xml:space="preserve">16. Guardian Circle</t>
  </si>
  <si>
    <t xml:space="preserve">The monthly donor club blueprint — your highest-leverage lever.</t>
  </si>
  <si>
    <t xml:space="preserve">17. Donor Data Analysis</t>
  </si>
  <si>
    <t xml:space="preserve">Export spec + the retention/recurring analysis I'll run the moment you drop the CSV.</t>
  </si>
  <si>
    <t xml:space="preserve">The Improved Master Prompt</t>
  </si>
  <si>
    <t xml:space="preserve">Copy column B and paste as a single prompt. Built to force trust-first, action-only thinking.</t>
  </si>
  <si>
    <t xml:space="preserve">ROLE</t>
  </si>
  <si>
    <t xml:space="preserve">You are a senior nonprofit growth strategist. Hold six lenses at once: a McKinsey/Bain strategy partner, a Charity Navigator / GiveIndia trust analyst, a UNICEF / charity: water digital-fundraising lead, a conversion-rate-optimization (CRO) expert, a nonprofit CEO, and an actual donor deciding whether to give.</t>
  </si>
  <si>
    <t xml:space="preserve">OBJECTIVE</t>
  </si>
  <si>
    <t xml:space="preserve">Create a complete, evidence-based blueprint to transform RKM Foundation (rkmfoundation.com) into the most trusted, transparent and effective animal-welfare nonprofit brand in India — while maximizing donations, recurring giving, volunteer engagement, fundraiser participation and CSR partnerships. The website is only the surface; the real target is donor trust and confidence.</t>
  </si>
  <si>
    <t xml:space="preserve">NORTH STAR</t>
  </si>
  <si>
    <t xml:space="preserve">Optimize trust and donor confidence as the root cause. Success metrics (all downstream of trust): total donations, recurring/monthly donors, donor retention, average gift, CSR partnerships, volunteers acquired, fundraisers launched, organic reach, impact perception. Treat revenue as a lagging indicator of trust.</t>
  </si>
  <si>
    <t xml:space="preserve">INSPECT FIRST (no assumptions)</t>
  </si>
  <si>
    <t xml:space="preserve">Render every key page in a real browser before judging — static page source hides JS-rendered donate widgets and content. Actually walk: home, donate, about, fundraiser, partner-with-us, other-ways-to-give, legal &amp; governance, FAQs, CSR, blog, media, downloads. For each, record what EXISTS, what is CLAIMED, and — most important — what is claimed but NOT evidenced. Test the donate flow itself.</t>
  </si>
  <si>
    <t xml:space="preserve">LIVE DONATION INFRASTRUCTURE VALIDATION MODE</t>
  </si>
  <si>
    <t xml:space="preserve">This is not just a website audit. When a Mac, Chrome, DevTools, the live site, existing browser sessions, admin sessions, or the Razorpay dashboard are available, validate findings against the LIVE environment — not only source code or page inspection. Act as a real donor and walk the COMPLETE journey on desktop AND mobile: Homepage → Donate → Form → Razorpay checkout → payment success → thank-you → receipt → donor communication. Document every conversion leak (friction, trust, confusion, abandonment risk, technical issues, accessibility). Never complete a real payment or move money.</t>
  </si>
  <si>
    <t xml:space="preserve">RAZORPAY VALIDATION</t>
  </si>
  <si>
    <t xml:space="preserve">If the Razorpay dashboard is accessible, audit: payment methods enabled, UPI experience, subscription / recurring setup, webhook configuration, payment success/failure handling, refund workflows, donation reporting, donor attribution and receipt workflows. Validate against the actual configuration — do not speculate. Never change settings.</t>
  </si>
  <si>
    <t xml:space="preserve">LIVE VALIDATION RULE</t>
  </si>
  <si>
    <t xml:space="preserve">Every finding must carry a Validation Source: Live Website / Browser Test / Razorpay Dashboard / Chrome Session / DevTools / Admin Panel / Code Review / Competitor Benchmark. No validation source = not a verified finding — mark it a hypothesis. Clearly separate: Verified in Razorpay / Verified on Website / Verified in Browser / Inferred from Code / Recommendation.</t>
  </si>
  <si>
    <t xml:space="preserve">IMPLEMENTATION READINESS</t>
  </si>
  <si>
    <t xml:space="preserve">Before recommending any donation-related change, confirm it is realistic, technically feasible, won't break the donation flow, won't disrupt live donations, and can be verified afterward. Every recommendation must state: expected trust impact, donation impact, recurring-donation impact, effort, risk, and verification method. The goal is to maximize donations, recurring donations, trust, transparency, volunteers, fundraisers and CSR — while protecting the live donation infrastructure.</t>
  </si>
  <si>
    <t xml:space="preserve">WAKE-UP CHECKLIST</t>
  </si>
  <si>
    <t xml:space="preserve">Why does someone donate? Why do they NOT donate? Why do they not donate AGAIN? Why do they not trust the org? Why do CSR managers approve or reject a grant? Why do fundraisers and volunteers sign up — or not? And how do we increase each of donations, recurring donations, trust, transparency and impact perception?</t>
  </si>
  <si>
    <t xml:space="preserve">DONOR-PSYCHOLOGY AUDIT</t>
  </si>
  <si>
    <t xml:space="preserve">Role-play the live site as each of: a ₹500 first-timer, a ₹5,000 donor, a ₹50,000 donor, a ₹5 lakh HNI, a monthly donor, a CSR manager, an animal lover, a volunteer, and a fundraiser organizer. For each answer in their voice: 'Why should I trust RKM with my money?' and 'Why should I give TODAY?' Pinpoint the exact moment of doubt.</t>
  </si>
  <si>
    <t xml:space="preserve">TRUST &amp; TRANSPARENCY AUDIT</t>
  </si>
  <si>
    <t xml:space="preserve">Score financial transparency, impact proof, success stories, governance, credibility, trust signals, social proof and real outcomes. Flag every claim ('every rupee is accounted for', 'audited annually') made WITHOUT visible evidence. Claim-without-proof is the #1 trust killer.</t>
  </si>
  <si>
    <t xml:space="preserve">RECURRING-DONATION AUDIT</t>
  </si>
  <si>
    <t xml:space="preserve">Treat monthly giving as the single biggest growth lever. Audit the monthly on-ramp, the default ask, donor-club identity, retention, post-donation experience and donor communications. Answer explicitly: 'How do we double recurring donations?'</t>
  </si>
  <si>
    <t xml:space="preserve">CSR AUDIT</t>
  </si>
  <si>
    <t xml:space="preserve">Role-play a CSR head running diligence: would I approve ₹25 lakh? ₹1 crore? ₹5 crore? Why or why not? Evaluate the CSR page, due-diligence pack, sample utilisation certificate, named past corporate partners, compliance docs and proven ability to absorb and report on funds at each level.</t>
  </si>
  <si>
    <t xml:space="preserve">VOLUNTEER &amp; FUNDRAISER AUDIT</t>
  </si>
  <si>
    <t xml:space="preserve">Map the volunteer, fundraiser, ambassador and community-building journeys end to end: clarity of role and commitment, locations, onboarding, recognition, social proof, and the loop back into giving.</t>
  </si>
  <si>
    <t xml:space="preserve">BRAND-PERCEPTION AUDIT</t>
  </si>
  <si>
    <t xml:space="preserve">In a 5-second first impression, does it feel trustworthy / professional / transparent / impactful / modern / credible — or small / amateur / risky / unclear?</t>
  </si>
  <si>
    <t xml:space="preserve">COMPETITOR BENCHMARKING</t>
  </si>
  <si>
    <t xml:space="preserve">Benchmark against world-class donation &amp; trust orgs, not only animal charities. India: GiveIndia, CRY, HelpAge, Akshaya Patra, Goonj, PETA India, Blue Cross, Friendicoes. Global: charity: water, WWF, ASPCA, Humane Society, Best Friends, UNICEF, Red Cross. For each practice: what they do, what RKM lacks, the move to close the gap.</t>
  </si>
  <si>
    <t xml:space="preserve">GROWTH AUDIT</t>
  </si>
  <si>
    <t xml:space="preserve">If donations had to grow 25% / 50% / 100% / 300%, state exactly where growth comes from at each tier — name the channel, the lever and the mechanism.</t>
  </si>
  <si>
    <t xml:space="preserve">RULES OF ENGAGEMENT</t>
  </si>
  <si>
    <t xml:space="preserve">You are NOT evaluated on how many problems you find. You are evaluated on your ability to increase donations, recurring donations, trust, volunteer engagement, fundraiser participation, CSR partnerships and donor retention. Every finding MUST lead to an action, a recommendation and a measurable outcome. Never invent facts, numbers or testimonials; if proof is missing, the recommendation is to CREATE it. Separate what the site SAYS from what it PROVES. If you cannot verify something safely, label it unverified — do not assert it.</t>
  </si>
  <si>
    <t xml:space="preserve">OUTPUT FORMAT</t>
  </si>
  <si>
    <t xml:space="preserve">Deliver: (1) Executive summary — the 3 biggest unlocks; (2) Scorecard 1-10 vs benchmarks; (3) Prioritized action plan — finding → action, effort, impact, owner, KPI, priority score; (4) Deep dives on recurring, CSR and personas; (5) a 90-day roadmap. Tie every recommendation to one named success metric.</t>
  </si>
  <si>
    <t xml:space="preserve">FINAL</t>
  </si>
  <si>
    <t xml:space="preserve">Do not audit a website. Produce a blueprint to maximize trust, donations and recurring giving for RKM Foundation — and make every line actionable.</t>
  </si>
  <si>
    <t xml:space="preserve">Corrections Log — Verified 19 Jun 2026</t>
  </si>
  <si>
    <t xml:space="preserve">Round 1 judged the non-rendered HTML. After re-rendering the site and testing checkout, these claims changed. Accuracy matters here.</t>
  </si>
  <si>
    <t xml:space="preserve">Round-1 claim</t>
  </si>
  <si>
    <t xml:space="preserve">Verified reality (live site)</t>
  </si>
  <si>
    <t xml:space="preserve">Status</t>
  </si>
  <si>
    <t xml:space="preserve">'No dedicated CSR page.'</t>
  </si>
  <si>
    <t xml:space="preserve">A strong /csr page exists: Seven Pillars mapped to Schedule VII, compliance messaging, a downloadable Partnership Overview PDF + a registration-certs ZIP, and a consultation form with budget bands up to 'Above ₹1 Crore'.</t>
  </si>
  <si>
    <t xml:space="preserve">CORRECTED</t>
  </si>
  <si>
    <t xml:space="preserve">'No testimonials / social proof anywhere.'</t>
  </si>
  <si>
    <t xml:space="preserve">Five named testimonials with photos, cities and roles exist on /media (two monthly donors, an in-kind donor, a volunteer, a vet). Real issue: they're buried on Media, not on home/donate — and some are team-affiliated.</t>
  </si>
  <si>
    <t xml:space="preserve">'Monthly giving is invisible / no toggle.'</t>
  </si>
  <si>
    <t xml:space="preserve">The donate widget has a clear One-Time / Monthly toggle, and testimonials confirm active monthly donors. Real issue: monthly isn't the default and isn't productised as a named programme.</t>
  </si>
  <si>
    <t xml:space="preserve">'No WhatsApp opt-in.'</t>
  </si>
  <si>
    <t xml:space="preserve">The donate form has a 'Send me impact updates on WhatsApp' opt-in checkbox. Real issue: use it to actually run a nurture flow.</t>
  </si>
  <si>
    <t xml:space="preserve">'Donate page is thin / form below the fold / ₹1,000 excludes donors.'</t>
  </si>
  <si>
    <t xml:space="preserve">Rendered, the donate widget is strong and above the fold: tiers, custom amount, PAN, trust badges (80G, verified payments, instant receipt, cancel anytime), Razorpay. ₹1,000 is a deliberate minimum, not a bug.</t>
  </si>
  <si>
    <t xml:space="preserve">(New) 'Donation isn't working' — your report.</t>
  </si>
  <si>
    <t xml:space="preserve">Reproduced with ₹1,000: the button shows 'Opening secure payment…' for ~5-7 seconds, then the Razorpay checkout DOES open (UPI/GPay/PhonePe/Cards/NetBanking). So it's not a dead button — it's a slow checkout. Payment COMPLETION was not tested (we don't move real money).</t>
  </si>
  <si>
    <t xml:space="preserve">NEEDS YOUR TEST</t>
  </si>
  <si>
    <t xml:space="preserve">'Almost no impact numbers.'</t>
  </si>
  <si>
    <t xml:space="preserve">Confirmed — still the core gap. The only concrete figure found is a 'permanent shelter for 30 rescued dogs and cats' on the CSR page. No counters, totals or outcomes anywhere.</t>
  </si>
  <si>
    <t xml:space="preserve">CONFIRMED</t>
  </si>
  <si>
    <t xml:space="preserve">'No published financials / annual report.'</t>
  </si>
  <si>
    <t xml:space="preserve">Confirmed. The site describes annual reporting and 10BD/10BE filing, but no audited financials or annual report are downloadable.</t>
  </si>
  <si>
    <t xml:space="preserve">'Content is thin — one blog post.'</t>
  </si>
  <si>
    <t xml:space="preserve">Confirmed. /blog has a single post (Tobler) plus 'more stories on their way'.</t>
  </si>
  <si>
    <t xml:space="preserve">Trust &amp; Growth Scorecard (revised)</t>
  </si>
  <si>
    <t xml:space="preserve">Re-scored after verification. 1 = absent / 10 = best-in-class. Lowest scores = biggest opportunity.</t>
  </si>
  <si>
    <t xml:space="preserve">Dimension</t>
  </si>
  <si>
    <t xml:space="preserve">Score (1-10)</t>
  </si>
  <si>
    <t xml:space="preserve">Best-in-class reference</t>
  </si>
  <si>
    <t xml:space="preserve">What we saw on the live site</t>
  </si>
  <si>
    <t xml:space="preserve">Legal &amp; statutory trust signals</t>
  </si>
  <si>
    <t xml:space="preserve">Sector-leading</t>
  </si>
  <si>
    <t xml:space="preserve">12A, 80G, CSR-1, DARPAN, PAN, trust reg — all numbered and downloadable. Better than most Indian NGOs.</t>
  </si>
  <si>
    <t xml:space="preserve">Governance &amp; policy transparency</t>
  </si>
  <si>
    <t xml:space="preserve">CRY / HelpAge</t>
  </si>
  <si>
    <t xml:space="preserve">Strong Legal &amp; Governance page: conflict-of-interest, anti-fraud, whistleblower, fund-utilisation, safeguarding.</t>
  </si>
  <si>
    <t xml:space="preserve">Donation flow (CRO)</t>
  </si>
  <si>
    <t xml:space="preserve">WWF / UNICEF</t>
  </si>
  <si>
    <t xml:space="preserve">Strong rendered widget: one-time/monthly toggle, tiers, custom amount, trust badges, Razorpay. Gaps: slow checkout open, no on-page social proof.</t>
  </si>
  <si>
    <t xml:space="preserve">CSR readiness</t>
  </si>
  <si>
    <t xml:space="preserve">United Way / GiveIndia</t>
  </si>
  <si>
    <t xml:space="preserve">Strong /csr page + Schedule VII pillars + downloadable pack + budget bands. Gaps: named partners, audited financials, sample utilisation cert, impact numbers.</t>
  </si>
  <si>
    <t xml:space="preserve">Brand &amp; emotional resonance</t>
  </si>
  <si>
    <t xml:space="preserve">charity: water</t>
  </si>
  <si>
    <t xml:space="preserve">Clean design, authentic founder story (Tobler), warm copy. A real strength.</t>
  </si>
  <si>
    <t xml:space="preserve">Fundraiser / peer-to-peer</t>
  </si>
  <si>
    <t xml:space="preserve">GiveIndia / Ketto</t>
  </si>
  <si>
    <t xml:space="preserve">Good concept + 3-step flow + outcome tiers. Needs seeding and social proof of success.</t>
  </si>
  <si>
    <t xml:space="preserve">Recurring / monthly giving</t>
  </si>
  <si>
    <t xml:space="preserve">WWF / Best Friends</t>
  </si>
  <si>
    <t xml:space="preserve">Monthly toggle exists and there are monthly donors — but it isn't the default, has no club identity, and no ongoing-impact proof to retain.</t>
  </si>
  <si>
    <t xml:space="preserve">Social proof &amp; validation</t>
  </si>
  <si>
    <t xml:space="preserve">GiveIndia badges</t>
  </si>
  <si>
    <t xml:space="preserve">Testimonials exist on /media but are buried off the donate path and partly team-affiliated. No donor count, press or third-party rating/badge.</t>
  </si>
  <si>
    <t xml:space="preserve">Volunteer journey</t>
  </si>
  <si>
    <t xml:space="preserve">Best Friends</t>
  </si>
  <si>
    <t xml:space="preserve">A single contact form. No role detail, time commitment, locations, schedule of drives, or onboarding.</t>
  </si>
  <si>
    <t xml:space="preserve">Organic / SEO discoverability</t>
  </si>
  <si>
    <t xml:space="preserve">charity: water blog</t>
  </si>
  <si>
    <t xml:space="preserve">Decent meta tags but thin content and no city/cause landing pages. (Light assessment.)</t>
  </si>
  <si>
    <t xml:space="preserve">Donor retention &amp; post-gift</t>
  </si>
  <si>
    <t xml:space="preserve">UNICEF monthly</t>
  </si>
  <si>
    <t xml:space="preserve">Updates and visits are described; WhatsApp/email capture exists. But no productised thank-you or recurring nurture journey.</t>
  </si>
  <si>
    <t xml:space="preserve">Impact evidence &amp; proof</t>
  </si>
  <si>
    <t xml:space="preserve">Akshaya Patra</t>
  </si>
  <si>
    <t xml:space="preserve">Almost no numbers — only a '30-animal shelter' on the CSR page. No counters, totals, cost-per-outcome. The core credibility gap.</t>
  </si>
  <si>
    <t xml:space="preserve">Financial transparency (published)</t>
  </si>
  <si>
    <t xml:space="preserve">charity: water / CRY</t>
  </si>
  <si>
    <t xml:space="preserve">Claims audited annually and describes 10BD/10BE, but NO financials or annual report are downloadable.</t>
  </si>
  <si>
    <t xml:space="preserve">Storytelling &amp; content depth</t>
  </si>
  <si>
    <t xml:space="preserve">ASPCA / Goonj</t>
  </si>
  <si>
    <t xml:space="preserve">One blog post (Tobler). No archive of rescue outcomes or before/after cases.</t>
  </si>
  <si>
    <t xml:space="preserve">Urgency &amp; specific live cases</t>
  </si>
  <si>
    <t xml:space="preserve">ASPCA / Friendicoes</t>
  </si>
  <si>
    <t xml:space="preserve">Generic 'an animal is waiting'. No named, live case with a photo and a funding goal/progress bar.</t>
  </si>
  <si>
    <t xml:space="preserve">OVERALL TRUST &amp; GROWTH INDEX</t>
  </si>
  <si>
    <t xml:space="preserve">Stronger than it first looked.</t>
  </si>
  <si>
    <t xml:space="preserve">Foundations (legal, governance, CSR page, donate UX, brand) are genuinely strong. The gap is EVIDENCE and ENGINE: proof of impact, published financials, on-page social proof, and a productised recurring programme. That's the unlock.</t>
  </si>
  <si>
    <t xml:space="preserve">Prioritized Execution Plan (revised)</t>
  </si>
  <si>
    <t xml:space="preserve">Finding → action with a KPI. Priority Score = Impact × Confidence × Ease ÷ 10 (higher = do first). Use the filter to sort.</t>
  </si>
  <si>
    <t xml:space="preserve">ID</t>
  </si>
  <si>
    <t xml:space="preserve">Priority</t>
  </si>
  <si>
    <t xml:space="preserve">Area</t>
  </si>
  <si>
    <t xml:space="preserve">Finding (gap)</t>
  </si>
  <si>
    <t xml:space="preserve">Evidence</t>
  </si>
  <si>
    <t xml:space="preserve">Recommended action</t>
  </si>
  <si>
    <t xml:space="preserve">Primary KPI</t>
  </si>
  <si>
    <t xml:space="preserve">Impact</t>
  </si>
  <si>
    <t xml:space="preserve">Conf.</t>
  </si>
  <si>
    <t xml:space="preserve">Ease</t>
  </si>
  <si>
    <t xml:space="preserve">Priority Score</t>
  </si>
  <si>
    <t xml:space="preserve">Owner</t>
  </si>
  <si>
    <t xml:space="preserve">P0</t>
  </si>
  <si>
    <t xml:space="preserve">Recurring / payments</t>
  </si>
  <si>
    <t xml:space="preserve">VERIFIED in browser: the Monthly flow DOES create a real Razorpay subscription (₹1,000 now, then ₹1,000/mo) — but the subscription checkout offers CARDS ONLY. No UPI Autopay, Netbanking or Wallet (the one-time flow has all of them). In India most donors won't/can't use a card for autopay, so monthly is gated to a tiny minority.</t>
  </si>
  <si>
    <t xml:space="preserve">Browser test 19 Jun</t>
  </si>
  <si>
    <t xml:space="preserve">Enable UPI Autopay (e-mandate) for Subscriptions in Razorpay, then re-test the monthly flow end-to-end. This is the highest-leverage single fix for recurring revenue.</t>
  </si>
  <si>
    <t xml:space="preserve">Recurring conversion / # monthly donors</t>
  </si>
  <si>
    <t xml:space="preserve">Founder + Web</t>
  </si>
  <si>
    <t xml:space="preserve">Not started</t>
  </si>
  <si>
    <t xml:space="preserve">Payment / checkout</t>
  </si>
  <si>
    <t xml:space="preserve">Donating ₹1,000 (one-time AND monthly) shows 'Opening secure payment…' for ~5-10s before Razorpay opens; payment COMPLETION is unverified (we don't process real test payments). The delay alone can read as 'broken'.</t>
  </si>
  <si>
    <t xml:space="preserve">Run a real ₹1,000 test on UPI + card; check the Razorpay dashboard for failed/declined logs; confirm live mode + webhooks; pre-create the order to cut the latency.</t>
  </si>
  <si>
    <t xml:space="preserve">Completed-donation rate</t>
  </si>
  <si>
    <t xml:space="preserve">Impact proof</t>
  </si>
  <si>
    <t xml:space="preserve">Almost no impact numbers anywhere (only a '30-animal shelter' on the CSR page). The site promises proof it never shows.</t>
  </si>
  <si>
    <t xml:space="preserve">Home, About, CSR</t>
  </si>
  <si>
    <t xml:space="preserve">Add live impact counters (animals helped, meals, treatments, ₹ deployed, cost-per-outcome) on the homepage + a dedicated Impact page; update monthly.</t>
  </si>
  <si>
    <t xml:space="preserve">Donation conversion rate</t>
  </si>
  <si>
    <t xml:space="preserve">Financial transparency</t>
  </si>
  <si>
    <t xml:space="preserve">Claims 'every rupee is accounted for' + annual audit, but no financials or annual report are published.</t>
  </si>
  <si>
    <t xml:space="preserve">Home, Legal, Media</t>
  </si>
  <si>
    <t xml:space="preserve">Publish audited financials + a 1-page annual impact report + a 'where your money goes' (program vs admin %) as downloadable PDFs.</t>
  </si>
  <si>
    <t xml:space="preserve">CSR &amp; HNI conversion</t>
  </si>
  <si>
    <t xml:space="preserve">Trustees + CA</t>
  </si>
  <si>
    <t xml:space="preserve">Recurring giving</t>
  </si>
  <si>
    <t xml:space="preserve">Monthly exists but isn't productised — not the default, no club identity, no retention engine.</t>
  </si>
  <si>
    <t xml:space="preserve">Donate, Media</t>
  </si>
  <si>
    <t xml:space="preserve">Make Monthly the default toggle; launch a named club ('Guardian Circle') with identity, welcome kit and monthly impact updates.</t>
  </si>
  <si>
    <t xml:space="preserve"># active monthly donors</t>
  </si>
  <si>
    <t xml:space="preserve">Social proof</t>
  </si>
  <si>
    <t xml:space="preserve">Strong testimonials exist but are buried on /media (and some are team-affiliated) — absent where people actually decide.</t>
  </si>
  <si>
    <t xml:space="preserve">Media vs Home/Donate</t>
  </si>
  <si>
    <t xml:space="preserve">Surface 2-3 INDEPENDENT donor testimonials + a donor count on home and the donate page; clearly label any team-affiliated voices.</t>
  </si>
  <si>
    <t xml:space="preserve">Conversion rate</t>
  </si>
  <si>
    <t xml:space="preserve">Web + Comms</t>
  </si>
  <si>
    <t xml:space="preserve">P1</t>
  </si>
  <si>
    <t xml:space="preserve">Urgency</t>
  </si>
  <si>
    <t xml:space="preserve">Generic 'an animal is waiting' — no named, live case with a goal.</t>
  </si>
  <si>
    <t xml:space="preserve">Home</t>
  </si>
  <si>
    <t xml:space="preserve">Add an 'active cases' module: named animal, photo, ₹ goal and a progress bar ('Bruno needs ₹10,000 — ₹6,200 raised').</t>
  </si>
  <si>
    <t xml:space="preserve">Conversion + avg gift</t>
  </si>
  <si>
    <t xml:space="preserve">Field + Web</t>
  </si>
  <si>
    <t xml:space="preserve">CSR proof</t>
  </si>
  <si>
    <t xml:space="preserve">The CSR page is strong but has no named corporate partners/case studies, no sample utilisation certificate, no audited financials.</t>
  </si>
  <si>
    <t xml:space="preserve">CSR page</t>
  </si>
  <si>
    <t xml:space="preserve">Land + publish 2-3 anchor corporate partners as case studies; add a sample utilisation certificate and audited financials to the CSR pack.</t>
  </si>
  <si>
    <t xml:space="preserve">CSR pipeline value (₹)</t>
  </si>
  <si>
    <t xml:space="preserve">Founder + Comms</t>
  </si>
  <si>
    <t xml:space="preserve">Donor nurture</t>
  </si>
  <si>
    <t xml:space="preserve">WhatsApp opt-in + email capture exist, but there's no productised post-gift journey.</t>
  </si>
  <si>
    <t xml:space="preserve">Donate, footer</t>
  </si>
  <si>
    <t xml:space="preserve">Build the journey: instant thank-you + receipt, first impact update within 48h, then monthly updates via WhatsApp + email; add 'pause instead of cancel'.</t>
  </si>
  <si>
    <t xml:space="preserve">Repeat donation rate</t>
  </si>
  <si>
    <t xml:space="preserve">Comms</t>
  </si>
  <si>
    <t xml:space="preserve">Checkout UX</t>
  </si>
  <si>
    <t xml:space="preserve">Even when it works, the order-creation delay hurts conversion.</t>
  </si>
  <si>
    <t xml:space="preserve">Verified live</t>
  </si>
  <si>
    <t xml:space="preserve">Pre-create the Razorpay order on form focus and show clear progress; target under ~1.5s to checkout.</t>
  </si>
  <si>
    <t xml:space="preserve">Web</t>
  </si>
  <si>
    <t xml:space="preserve">Volunteer</t>
  </si>
  <si>
    <t xml:space="preserve">Volunteer journey is a bare form — no roles, commitment, locations, schedule or onboarding.</t>
  </si>
  <si>
    <t xml:space="preserve">Other Ways to Give</t>
  </si>
  <si>
    <t xml:space="preserve">Rebuild the volunteer page (roles, locations, a Thane/Mumbai drive calendar, onboarding) and route volunteers toward monthly giving.</t>
  </si>
  <si>
    <t xml:space="preserve"># volunteers activated</t>
  </si>
  <si>
    <t xml:space="preserve">Storytelling</t>
  </si>
  <si>
    <t xml:space="preserve">Thin content — a single blog post and no rescue archive.</t>
  </si>
  <si>
    <t xml:space="preserve">Blog</t>
  </si>
  <si>
    <t xml:space="preserve">Stand up a monthly 'rescue of the month' (before/after + outcome), repurposed to Instagram/WhatsApp.</t>
  </si>
  <si>
    <t xml:space="preserve">Organic + returning donors</t>
  </si>
  <si>
    <t xml:space="preserve">P2</t>
  </si>
  <si>
    <t xml:space="preserve">Donation CRO</t>
  </si>
  <si>
    <t xml:space="preserve">₹1,000 minimum is a deliberate choice that filters out small first-time donors.</t>
  </si>
  <si>
    <t xml:space="preserve">Donate</t>
  </si>
  <si>
    <t xml:space="preserve">A/B-test a ₹100-₹500 entry tier (one-time) with an upgrade path, to capture and then grow the first gift.</t>
  </si>
  <si>
    <t xml:space="preserve">First-time donors</t>
  </si>
  <si>
    <t xml:space="preserve">Third-party validation</t>
  </si>
  <si>
    <t xml:space="preserve">No verified-NGO badge or external rating.</t>
  </si>
  <si>
    <t xml:space="preserve">Site-wide</t>
  </si>
  <si>
    <t xml:space="preserve">List on GiveIndia / Give.do and display the verified badge for borrowed trust.</t>
  </si>
  <si>
    <t xml:space="preserve">Major gifts</t>
  </si>
  <si>
    <t xml:space="preserve">No path for ₹50,000-₹5 lakh donors.</t>
  </si>
  <si>
    <t xml:space="preserve">Add major-gift options (sponsor a kennel, fund a feeding route, name a programme) with a personal contact and stewardship.</t>
  </si>
  <si>
    <t xml:space="preserve">Avg gift + major gifts</t>
  </si>
  <si>
    <t xml:space="preserve">Founder</t>
  </si>
  <si>
    <t xml:space="preserve">Organic / SEO</t>
  </si>
  <si>
    <t xml:space="preserve">Thin discoverability — no city/cause pages.</t>
  </si>
  <si>
    <t xml:space="preserve">Build cause + city pages (e.g. 'animal rescue Thane / Mumbai'), add structured data, keep a blog cadence.</t>
  </si>
  <si>
    <t xml:space="preserve">Organic sessions</t>
  </si>
  <si>
    <t xml:space="preserve">Fundraiser</t>
  </si>
  <si>
    <t xml:space="preserve">No fundraiser social proof — no active/successful fundraisers shown.</t>
  </si>
  <si>
    <t xml:space="preserve">Seed with known supporters; showcase active/successful fundraisers + a sample page and a simple leaderboard.</t>
  </si>
  <si>
    <t xml:space="preserve"># fundraisers launched</t>
  </si>
  <si>
    <t xml:space="preserve">Trust / brand</t>
  </si>
  <si>
    <t xml:space="preserve">The Mundhra family + Tobler origin is a strong trust anchor but under-leveraged.</t>
  </si>
  <si>
    <t xml:space="preserve">About, Home</t>
  </si>
  <si>
    <t xml:space="preserve">Bring real faces forward — a short founder video and family photo near the primary CTA.</t>
  </si>
  <si>
    <t xml:space="preserve">Transparency cadence</t>
  </si>
  <si>
    <t xml:space="preserve">No live 'where your money goes' or 'last updated' signals.</t>
  </si>
  <si>
    <t xml:space="preserve">Add an allocation graphic + a quarterly cadence + 'last updated' dates to signal active stewardship.</t>
  </si>
  <si>
    <t xml:space="preserve">Trust + retention</t>
  </si>
  <si>
    <t xml:space="preserve">Comms + CA</t>
  </si>
  <si>
    <t xml:space="preserve">Technical</t>
  </si>
  <si>
    <t xml:space="preserve">Mobile speed + accessibility of the donate flow not verified.</t>
  </si>
  <si>
    <t xml:space="preserve">Run a mobile-speed + WCAG audit of the donate flow specifically, then fix blockers.</t>
  </si>
  <si>
    <t xml:space="preserve">Mobile conversion</t>
  </si>
  <si>
    <t xml:space="preserve">Live Validation — Browser-Verified</t>
  </si>
  <si>
    <t xml:space="preserve">Tested on the live site in a rendered browser on 19 Jun 2026. No real payment was completed and no settings were changed.</t>
  </si>
  <si>
    <t xml:space="preserve">Razorpay dashboard could not be opened (blocked by safety restrictions), so its config is for YOU to verify — checklist at the bottom.</t>
  </si>
  <si>
    <t xml:space="preserve">What we found (live)</t>
  </si>
  <si>
    <t xml:space="preserve">Validation source</t>
  </si>
  <si>
    <t xml:space="preserve">Recommendation</t>
  </si>
  <si>
    <t xml:space="preserve">Monthly = real subscription</t>
  </si>
  <si>
    <t xml:space="preserve">The Monthly toggle creates a genuine Razorpay subscription: 'a payment of ₹1,000 will be charged now… then ₹1,000 every month until 26 May 2036', card linked per RBI e-mandate. Recurring is properly built.</t>
  </si>
  <si>
    <t xml:space="preserve">Verified in Browser</t>
  </si>
  <si>
    <t xml:space="preserve">Keep — and promote it. This is a real asset; most NGOs don't have true autopay.</t>
  </si>
  <si>
    <t xml:space="preserve">Monthly = CARDS ONLY</t>
  </si>
  <si>
    <t xml:space="preserve">The subscription checkout shows ONLY 'Cards' — no UPI Autopay, Netbanking or Wallet. The one-time checkout shows Cards, EMI, Netbanking and Wallet. In India, gating monthly to cards excludes most donors.</t>
  </si>
  <si>
    <t xml:space="preserve">Enable UPI Autopay (e-mandate) for Subscriptions in Razorpay. Highest-leverage recurring fix.</t>
  </si>
  <si>
    <t xml:space="preserve">Slow checkout open</t>
  </si>
  <si>
    <t xml:space="preserve">Both one-time and monthly show 'Opening secure payment…' for ~5-10s before Razorpay appears. This delay alone can feel broken (likely what you hit).</t>
  </si>
  <si>
    <t xml:space="preserve">Pre-create the Razorpay order on form focus; show clear progress; target &lt;1.5s.</t>
  </si>
  <si>
    <t xml:space="preserve">Donate widget quality</t>
  </si>
  <si>
    <t xml:space="preserve">Rendered, the widget is strong: one-time/monthly toggle, tiers with outcomes, custom amount, PAN, WhatsApp opt-in, T&amp;C, trust badges (80G, verified payments, instant receipt, cancel anytime).</t>
  </si>
  <si>
    <t xml:space="preserve">Surface independent donor social proof + a live case on this panel to lift conversion.</t>
  </si>
  <si>
    <t xml:space="preserve">Retained-state reopen</t>
  </si>
  <si>
    <t xml:space="preserve">Returning to the donate page auto-reopens the previous Razorpay checkout from the prior attempt — confusing.</t>
  </si>
  <si>
    <t xml:space="preserve">Clear checkout state on page load so the donor starts fresh.</t>
  </si>
  <si>
    <t xml:space="preserve">Payment completion</t>
  </si>
  <si>
    <t xml:space="preserve">NOT tested — we do not complete real transactions or move money.</t>
  </si>
  <si>
    <t xml:space="preserve">Not verified</t>
  </si>
  <si>
    <t xml:space="preserve">YOU run a real ₹1,000 test on UPI + card and confirm it succeeds end-to-end.</t>
  </si>
  <si>
    <t xml:space="preserve">Thank-you / receipt flow</t>
  </si>
  <si>
    <t xml:space="preserve">Could not be reached without completing a payment.</t>
  </si>
  <si>
    <t xml:space="preserve">Test end-to-end; confirm the instant 80G receipt email actually fires and reads well.</t>
  </si>
  <si>
    <t xml:space="preserve">Mobile experience</t>
  </si>
  <si>
    <t xml:space="preserve">Could not be fully verified — the Razorpay overlay overrode the resized view.</t>
  </si>
  <si>
    <t xml:space="preserve">Test the full donate + checkout flow on a real phone (where most Indian donors are).</t>
  </si>
  <si>
    <t xml:space="preserve">Razorpay dashboard</t>
  </si>
  <si>
    <t xml:space="preserve">Could not be opened (blocked by safety restrictions).</t>
  </si>
  <si>
    <t xml:space="preserve">Blocked</t>
  </si>
  <si>
    <t xml:space="preserve">Self-audit using the checklist below.</t>
  </si>
  <si>
    <t xml:space="preserve">Razorpay self-check (for YOU to verify in the dashboard)</t>
  </si>
  <si>
    <t xml:space="preserve">☐  UPI Autopay (e-mandate) is ENABLED for Subscriptions — this is the big one for monthly.</t>
  </si>
  <si>
    <t xml:space="preserve">☐  UPI is enabled and showing for one-time donations on mobile.</t>
  </si>
  <si>
    <t xml:space="preserve">☐  Webhooks configured + tested: subscription.charged, payment.failed, subscription.cancelled, order.paid.</t>
  </si>
  <si>
    <t xml:space="preserve">☐  Failed recurring charge has a retry / dunning rule so monthly donors aren't silently lost.</t>
  </si>
  <si>
    <t xml:space="preserve">☐  Refund / cancellation workflow is defined and matches the website's refund policy.</t>
  </si>
  <si>
    <t xml:space="preserve">☐  Reporting + donor attribution: every donation ties to a donor and exports cleanly for Form 10BD.</t>
  </si>
  <si>
    <t xml:space="preserve">☐  80G / instant receipt actually fires automatically on success (Razorpay or your backend).</t>
  </si>
  <si>
    <t xml:space="preserve">☐  Account is in LIVE mode with KYC complete and a settlement bank account active.</t>
  </si>
  <si>
    <t xml:space="preserve">Deep Dive — Doubling Recurring Donations</t>
  </si>
  <si>
    <t xml:space="preserve">Monthly giving already exists on the site. The job is to productise it into the backbone of revenue.</t>
  </si>
  <si>
    <t xml:space="preserve">Stage</t>
  </si>
  <si>
    <t xml:space="preserve">What's missing today</t>
  </si>
  <si>
    <t xml:space="preserve">The move</t>
  </si>
  <si>
    <t xml:space="preserve">1. The default</t>
  </si>
  <si>
    <t xml:space="preserve">Monthly is a toggle but One-Time is selected by default.</t>
  </si>
  <si>
    <t xml:space="preserve">Default the widget to Monthly; make one-time the secondary option. The default ask is the single highest-leverage change.</t>
  </si>
  <si>
    <t xml:space="preserve">2. The identity</t>
  </si>
  <si>
    <t xml:space="preserve">A monthly gift is just a transaction — no membership or belonging.</t>
  </si>
  <si>
    <t xml:space="preserve">Wrap it in an identity: a named club ('Guardian Circle' / 'The Daily Bowl'), a welcome kit, a badge, a monthly 'your animal this month' note.</t>
  </si>
  <si>
    <t xml:space="preserve">3. The framing</t>
  </si>
  <si>
    <t xml:space="preserve">Amounts are framed as one-off outcomes (two weeks of meals).</t>
  </si>
  <si>
    <t xml:space="preserve">Reframe monthly as ongoing care: '₹500/mo keeps one rescued dog fed and safe, every day.' Tie it to a continuing promise.</t>
  </si>
  <si>
    <t xml:space="preserve">4. The proof</t>
  </si>
  <si>
    <t xml:space="preserve">No impact updates means a donor has no reason to keep paying.</t>
  </si>
  <si>
    <t xml:space="preserve">Send a monthly field update (photo + one rescue) to every recurring donor. Retention is bought with proof — the #1 churn fix.</t>
  </si>
  <si>
    <t xml:space="preserve">5. The onboarding</t>
  </si>
  <si>
    <t xml:space="preserve">No thank-you journey after a gift.</t>
  </si>
  <si>
    <t xml:space="preserve">Instant thank-you + receipt, an impact update within 48h, then a predictable monthly rhythm. The first 30 days decide retention.</t>
  </si>
  <si>
    <t xml:space="preserve">6. The save</t>
  </si>
  <si>
    <t xml:space="preserve">Cancel-anytime is offered (good) but there's no retention step.</t>
  </si>
  <si>
    <t xml:space="preserve">Keep the easy cancel, but add 'pause instead of cancel' and a quick 'here's what your gift did' on the cancel path.</t>
  </si>
  <si>
    <t xml:space="preserve">7. The channel</t>
  </si>
  <si>
    <t xml:space="preserve">The WhatsApp opt-in is captured but not yet used to nurture.</t>
  </si>
  <si>
    <t xml:space="preserve">Run the monthly update over WhatsApp (far higher open rates in India) + email — turn the existing opt-in into a retention engine.</t>
  </si>
  <si>
    <t xml:space="preserve">8. The upgrade</t>
  </si>
  <si>
    <t xml:space="preserve">No path to grow an existing monthly gift.</t>
  </si>
  <si>
    <t xml:space="preserve">Once a year, invite monthly donors to step up (₹500 → ₹750) tied to a specific new need. Upgrades are cheaper than acquisition.</t>
  </si>
  <si>
    <t xml:space="preserve">Deep Dive — CSR Readiness</t>
  </si>
  <si>
    <t xml:space="preserve">The CSR page is already strong. This is the gap to large, repeatable corporate cheques.</t>
  </si>
  <si>
    <t xml:space="preserve">What a CSR head checks</t>
  </si>
  <si>
    <t xml:space="preserve">Have it?</t>
  </si>
  <si>
    <t xml:space="preserve">Approve?</t>
  </si>
  <si>
    <t xml:space="preserve">What to add</t>
  </si>
  <si>
    <t xml:space="preserve">CSR-1 / 80G / 12A / DARPAN</t>
  </si>
  <si>
    <t xml:space="preserve">Yes</t>
  </si>
  <si>
    <t xml:space="preserve">✓</t>
  </si>
  <si>
    <t xml:space="preserve">All present, numbered and downloadable (incl. a certs ZIP on the CSR page). Clears the basic filter.</t>
  </si>
  <si>
    <t xml:space="preserve">Dedicated CSR page</t>
  </si>
  <si>
    <t xml:space="preserve">Strong: Seven Pillars → Schedule VII, process, timeline, downloadable Partnership Overview, budget bands to &gt;₹1Cr.</t>
  </si>
  <si>
    <t xml:space="preserve">Governance &amp; anti-fraud</t>
  </si>
  <si>
    <t xml:space="preserve">Conflict-of-interest, anti-fraud, whistleblower policies all published. A real differentiator — feature it.</t>
  </si>
  <si>
    <t xml:space="preserve">Audited financials</t>
  </si>
  <si>
    <t xml:space="preserve">No</t>
  </si>
  <si>
    <t xml:space="preserve">✗</t>
  </si>
  <si>
    <t xml:space="preserve">Publish 1-2 years of audited statements. No CSR team approves a large grant they can't reconcile to accounts.</t>
  </si>
  <si>
    <t xml:space="preserve">Sample utilisation certificate</t>
  </si>
  <si>
    <t xml:space="preserve">Show a sample utilisation certificate + Form 10BE so partners see exactly what reporting they'll get back.</t>
  </si>
  <si>
    <t xml:space="preserve">Named past corporate partners</t>
  </si>
  <si>
    <t xml:space="preserve">Even 1-2 named partners or a pilot dramatically de-risks the first corporate cheque. Use trustee/management networks to land them.</t>
  </si>
  <si>
    <t xml:space="preserve">Impact measurement</t>
  </si>
  <si>
    <t xml:space="preserve">Define and show outcome metrics (animals treated, cost per rescue). CSR funds follow measurable outcomes.</t>
  </si>
  <si>
    <t xml:space="preserve">Absorptive capacity / scale</t>
  </si>
  <si>
    <t xml:space="preserve">Partial</t>
  </si>
  <si>
    <t xml:space="preserve">~</t>
  </si>
  <si>
    <t xml:space="preserve">The visitable 30-animal shelter is concrete and credible; for ₹25L-₹1Cr show throughput (animals/month, cost-per-outcome, capacity plan).</t>
  </si>
  <si>
    <t xml:space="preserve">Outbound motion</t>
  </si>
  <si>
    <t xml:space="preserve">The page is inbound-only (a form). Add a CSR pitch deck + active outreach — large CSR rarely arrives via a web form alone.</t>
  </si>
  <si>
    <t xml:space="preserve">Verdict</t>
  </si>
  <si>
    <t xml:space="preserve">A careful CSR head could already approve a pilot (₹5-25L) on the strength of the CSR page, registrations and governance. To unlock ₹25L-₹1Cr+ you need three things: published audited financials, a sample utilisation certificate, and 1-2 named partners + impact metrics. Those are the gate.</t>
  </si>
  <si>
    <t xml:space="preserve">Competitor Benchmark</t>
  </si>
  <si>
    <t xml:space="preserve">Not because they're animal charities — because they're world-class at trust and donations.</t>
  </si>
  <si>
    <t xml:space="preserve">Organization</t>
  </si>
  <si>
    <t xml:space="preserve">Category</t>
  </si>
  <si>
    <t xml:space="preserve">What they do best</t>
  </si>
  <si>
    <t xml:space="preserve">The move RKM should adopt</t>
  </si>
  <si>
    <t xml:space="preserve">Global · transparency</t>
  </si>
  <si>
    <t xml:space="preserve">Proves where every rupee goes — project photos, GPS, a separate ops fund so 100% of public gifts reach the field.</t>
  </si>
  <si>
    <t xml:space="preserve">Publish field-level proof + a clear 'where your money goes' model.</t>
  </si>
  <si>
    <t xml:space="preserve">India · scale proof</t>
  </si>
  <si>
    <t xml:space="preserve">Leads with huge, concrete impact numbers (meals served).</t>
  </si>
  <si>
    <t xml:space="preserve">Put live impact counters at the top of the homepage.</t>
  </si>
  <si>
    <t xml:space="preserve">GiveIndia / Give.do</t>
  </si>
  <si>
    <t xml:space="preserve">India · trust platform</t>
  </si>
  <si>
    <t xml:space="preserve">Third-party verification and a verified-NGO badge donors already trust.</t>
  </si>
  <si>
    <t xml:space="preserve">List and display the verified badge for instant borrowed trust.</t>
  </si>
  <si>
    <t xml:space="preserve">Global · recurring</t>
  </si>
  <si>
    <t xml:space="preserve">Monthly giving is the DEFAULT ask, wrapped in a donor identity + welcome kit.</t>
  </si>
  <si>
    <t xml:space="preserve">Default the widget to monthly + launch a named donor club.</t>
  </si>
  <si>
    <t xml:space="preserve">Best Friends Animal Society</t>
  </si>
  <si>
    <t xml:space="preserve">Global · animal</t>
  </si>
  <si>
    <t xml:space="preserve">Membership model — recurring donors get belonging, updates, community.</t>
  </si>
  <si>
    <t xml:space="preserve">Turn monthly donors into 'members' with identity and recognition.</t>
  </si>
  <si>
    <t xml:space="preserve">ASPCA / Humane Society</t>
  </si>
  <si>
    <t xml:space="preserve">Specific emotional cases paired with a fixed, easy monthly ask.</t>
  </si>
  <si>
    <t xml:space="preserve">Show named live cases with a goal + a one-tap monthly amount.</t>
  </si>
  <si>
    <t xml:space="preserve">CRY / HelpAge India</t>
  </si>
  <si>
    <t xml:space="preserve">India · reporting</t>
  </si>
  <si>
    <t xml:space="preserve">Published annual reports + audited financials build institutional trust.</t>
  </si>
  <si>
    <t xml:space="preserve">Publish an annual report + audited financials as downloadable PDFs.</t>
  </si>
  <si>
    <t xml:space="preserve">Friendicoes / Blue Cross</t>
  </si>
  <si>
    <t xml:space="preserve">India · local animal</t>
  </si>
  <si>
    <t xml:space="preserve">Hyperlocal specificity + urgent real-time cases on active social.</t>
  </si>
  <si>
    <t xml:space="preserve">Add city pages + urgent live cases; tie social to specific animals.</t>
  </si>
  <si>
    <t xml:space="preserve">Goonj</t>
  </si>
  <si>
    <t xml:space="preserve">India · narrative</t>
  </si>
  <si>
    <t xml:space="preserve">Repeatable storytelling that turns giving into a movement.</t>
  </si>
  <si>
    <t xml:space="preserve">Build a monthly impact-story engine, repurposed across channels.</t>
  </si>
  <si>
    <t xml:space="preserve">Donor Personas on the Live Site</t>
  </si>
  <si>
    <t xml:space="preserve">Each donor's core question, and the gap between what they need and what RKM shows today.</t>
  </si>
  <si>
    <t xml:space="preserve">Persona</t>
  </si>
  <si>
    <t xml:space="preserve">Their core question</t>
  </si>
  <si>
    <t xml:space="preserve">What they look for</t>
  </si>
  <si>
    <t xml:space="preserve">Gap on the site today → fix</t>
  </si>
  <si>
    <t xml:space="preserve">₹500 first-timer</t>
  </si>
  <si>
    <t xml:space="preserve">Is this real, and easy?</t>
  </si>
  <si>
    <t xml:space="preserve">Low entry, a trust badge, an instant receipt.</t>
  </si>
  <si>
    <t xml:space="preserve">₹1,000 minimum + slow checkout → test a lower entry tier + speed up the Razorpay open.</t>
  </si>
  <si>
    <t xml:space="preserve">₹5,000 donor</t>
  </si>
  <si>
    <t xml:space="preserve">What exactly does my money do?</t>
  </si>
  <si>
    <t xml:space="preserve">Concrete outcomes + proof they happened.</t>
  </si>
  <si>
    <t xml:space="preserve">Good outcome tiers, but no proof → add photos/numbers per tier.</t>
  </si>
  <si>
    <t xml:space="preserve">₹50,000 donor</t>
  </si>
  <si>
    <t xml:space="preserve">Is this organisation well-run?</t>
  </si>
  <si>
    <t xml:space="preserve">Governance, financials, a named team.</t>
  </si>
  <si>
    <t xml:space="preserve">Strong governance + team page, but no published financials → publish audited accounts + impact data.</t>
  </si>
  <si>
    <t xml:space="preserve">₹5 lakh HNI</t>
  </si>
  <si>
    <t xml:space="preserve">Will my gift be stewarded + recognised?</t>
  </si>
  <si>
    <t xml:space="preserve">Major-gift options, personal contact, real reporting.</t>
  </si>
  <si>
    <t xml:space="preserve">No major-gift path → add high-value tiers + contact + stewardship.</t>
  </si>
  <si>
    <t xml:space="preserve">Monthly donor</t>
  </si>
  <si>
    <t xml:space="preserve">Easy to start/stop, and ongoing?</t>
  </si>
  <si>
    <t xml:space="preserve">A monthly toggle, identity, regular updates.</t>
  </si>
  <si>
    <t xml:space="preserve">Toggle + cancel exist, but no club or updates → default monthly + Guardian club + monthly proof.</t>
  </si>
  <si>
    <t xml:space="preserve">CSR manager</t>
  </si>
  <si>
    <t xml:space="preserve">Compliant, can absorb funds, will report?</t>
  </si>
  <si>
    <t xml:space="preserve">CSR-1/80G, utilisation certs, partners, financials.</t>
  </si>
  <si>
    <t xml:space="preserve">Strong CSR page, but no partners/financials/sample cert → add those to the pack.</t>
  </si>
  <si>
    <t xml:space="preserve">Animal lover</t>
  </si>
  <si>
    <t xml:space="preserve">Are animals genuinely helped?</t>
  </si>
  <si>
    <t xml:space="preserve">Real rescues, photos, outcomes.</t>
  </si>
  <si>
    <t xml:space="preserve">One story (Tobler), no archive → live rescue cases + a story engine.</t>
  </si>
  <si>
    <t xml:space="preserve">What would I do, where, when?</t>
  </si>
  <si>
    <t xml:space="preserve">Clear roles, locations, schedule, commitment.</t>
  </si>
  <si>
    <t xml:space="preserve">Bare contact form → detailed volunteer page + onboarding.</t>
  </si>
  <si>
    <t xml:space="preserve">Fundraiser organizer</t>
  </si>
  <si>
    <t xml:space="preserve">Is it simple, and does it work?</t>
  </si>
  <si>
    <t xml:space="preserve">An easy flow + proof others succeeded.</t>
  </si>
  <si>
    <t xml:space="preserve">Good flow, but no social proof → show active/successful fundraisers + samples.</t>
  </si>
  <si>
    <t xml:space="preserve">Donor Psychology — The CEO Questions</t>
  </si>
  <si>
    <t xml:space="preserve">Before tactics: why people give, why they don't, and why they'd choose RKM. Answered for this org specifically.</t>
  </si>
  <si>
    <t xml:space="preserve">The question</t>
  </si>
  <si>
    <t xml:space="preserve">What pulls them toward RKM</t>
  </si>
  <si>
    <t xml:space="preserve">What pushes them away</t>
  </si>
  <si>
    <t xml:space="preserve">The lever to pull</t>
  </si>
  <si>
    <t xml:space="preserve">Why would I donate?</t>
  </si>
  <si>
    <t xml:space="preserve">Animals are a high-empathy cause; 80G gives 50% back; outcomes are concrete (₹2,500 = 2 weeks of meals); a real family story (Tobler); a visitable shelter; 'see where it goes' promise.</t>
  </si>
  <si>
    <t xml:space="preserve">The promise isn't backed by visible proof — no numbers, no recent rescues, no faces of animals helped this month.</t>
  </si>
  <si>
    <t xml:space="preserve">Manufacture proof on a cadence (counters + monthly rescue stories). Trust converts intent into a gift.</t>
  </si>
  <si>
    <t xml:space="preserve">Why would I NOT donate?</t>
  </si>
  <si>
    <t xml:space="preserve">—</t>
  </si>
  <si>
    <t xml:space="preserve">Looks small/family-run (risky for a big gift); no impact numbers; unclear how much reaches animals vs admin; ₹1,000 minimum; the checkout stalls for several seconds and feels broken.</t>
  </si>
  <si>
    <t xml:space="preserve">Publish financials + program/admin split; surface social proof; fix checkout speed; offer a low first-gift tier.</t>
  </si>
  <si>
    <t xml:space="preserve">Why would I donate MONTHLY?</t>
  </si>
  <si>
    <t xml:space="preserve">Ongoing care narrative fits animals perfectly; small monthly amount is painless; identity/belonging; cancel-anytime already removes risk; two testimonials already say monthly 'made sense here'.</t>
  </si>
  <si>
    <t xml:space="preserve">Monthly isn't the default; there's no club to belong to; no ongoing updates, so it feels like a subscription with nothing coming back.</t>
  </si>
  <si>
    <t xml:space="preserve">Default to monthly + a named club + monthly impact updates. This is the single biggest revenue lever.</t>
  </si>
  <si>
    <t xml:space="preserve">Why would I trust THIS NGO over another?</t>
  </si>
  <si>
    <t xml:space="preserve">Best-in-class compliance (12A/80G/CSR-1/DARPAN); published governance + anti-fraud policies; a shelter you can visit; honest, humble founder story.</t>
  </si>
  <si>
    <t xml:space="preserve">Bigger names carry a GiveIndia verified badge, charity:water-level proof, and years of public numbers RKM hasn't shown yet.</t>
  </si>
  <si>
    <t xml:space="preserve">Borrow third-party trust (GiveIndia/Give.do badge) + publish proof. Own the position 'the animal charity you can visit and verify'.</t>
  </si>
  <si>
    <t xml:space="preserve">The Growth Blueprint — 8 Strategies</t>
  </si>
  <si>
    <t xml:space="preserve">Organisational + fundraising strategy (not website fixes). Each strategy: objective, the moves, the model, the KPI.</t>
  </si>
  <si>
    <t xml:space="preserve">Strategy</t>
  </si>
  <si>
    <t xml:space="preserve">Objective</t>
  </si>
  <si>
    <t xml:space="preserve">Strategic moves</t>
  </si>
  <si>
    <t xml:space="preserve">Model + KPI</t>
  </si>
  <si>
    <t xml:space="preserve">1. Trust</t>
  </si>
  <si>
    <t xml:space="preserve">Convert RKM's compliance edge into visible, third-party-validated credibility.</t>
  </si>
  <si>
    <t xml:space="preserve">• Get verified/listed on GiveIndia / Give.do and show the badge
• Publish audited financials + an annual report
• Launch a live impact dashboard (animals, meals, ₹ deployed, cost-per-outcome)
• Collect third-party endorsements (vets, partner NGOs, corporates)</t>
  </si>
  <si>
    <t xml:space="preserve">Model: GiveIndia verification + charity:water proof.
KPI: conversion rate, avg gift.</t>
  </si>
  <si>
    <t xml:space="preserve">2. Donation</t>
  </si>
  <si>
    <t xml:space="preserve">Lift conversion + average gift from EXISTING traffic before buying new traffic.</t>
  </si>
  <si>
    <t xml:space="preserve">• Surface social proof + live cases on home/donate
• Speed up and de-risk the checkout
• Suggested-amount psychology ('most chosen')
• 80G tax-savings framing (50% back)
• Low first-gift tier → upgrade path</t>
  </si>
  <si>
    <t xml:space="preserve">Model: ASPCA / UNICEF donate UX.
KPI: conversion %, avg gift, first-time donors.</t>
  </si>
  <si>
    <t xml:space="preserve">3. Recurring Giving</t>
  </si>
  <si>
    <t xml:space="preserve">Make monthly the backbone of revenue — the #1 NGO growth lever.</t>
  </si>
  <si>
    <t xml:space="preserve">• Default to Monthly
• Named club ('Guardian Circle') with identity, welcome kit, badge
• Monthly impact updates via WhatsApp + email (retention engine)
• Annual upgrade ask
• Pause-instead-of-cancel</t>
  </si>
  <si>
    <t xml:space="preserve">Model: WWF / Best Friends membership; UNICEF monthly default.
KPI: # monthly donors, recurring % of revenue, retention.</t>
  </si>
  <si>
    <t xml:space="preserve">4. CSR</t>
  </si>
  <si>
    <t xml:space="preserve">Convert the strong CSR page into signed corporate programmes.</t>
  </si>
  <si>
    <t xml:space="preserve">• Land 2-3 anchor partners via trustee/management networks (e.g. Times Internet link on the team)
• Publish them as case studies
• Add audited financials + a sample utilisation certificate
• Build a CSR pitch deck + outbound motion
• Lead with the visitable shelter + employee volunteering</t>
  </si>
  <si>
    <t xml:space="preserve">Model: United Way / GiveIndia CSR.
KPI: CSR pipeline value, # signed partners, ₹ committed.</t>
  </si>
  <si>
    <t xml:space="preserve">5. Volunteer</t>
  </si>
  <si>
    <t xml:space="preserve">Turn volunteers into a recruitment, donor and reach funnel.</t>
  </si>
  <si>
    <t xml:space="preserve">• Clear volunteer journey (roles, locations, schedule, onboarding)
• A regular Thane/Mumbai feeding-drive calendar
• Convert volunteers → monthly donors + advocates
• Volunteer-generated content (UGC)</t>
  </si>
  <si>
    <t xml:space="preserve">Model: Best Friends volunteer program.
KPI: # active volunteers, volunteer→donor rate.</t>
  </si>
  <si>
    <t xml:space="preserve">6. Fundraiser</t>
  </si>
  <si>
    <t xml:space="preserve">Scale peer-to-peer so donors bring donors.</t>
  </si>
  <si>
    <t xml:space="preserve">• Seed with team + known supporters
• Showcase active/successful fundraisers + leaderboard + sample pages
• Occasion templates (birthday/run) + WhatsApp share
• Supporter kit (images, copy) + active support
• Corporate/employee fundraising tie-in</t>
  </si>
  <si>
    <t xml:space="preserve">Model: GiveIndia/Ketto; charity:water campaigns.
KPI: # fundraisers, ₹ raised P2P, donors acquired.</t>
  </si>
  <si>
    <t xml:space="preserve">7. Impact Storytelling</t>
  </si>
  <si>
    <t xml:space="preserve">Manufacture the proof the org currently lacks, on a cadence.</t>
  </si>
  <si>
    <t xml:space="preserve">• Monthly 'rescue of the month' (before/after + outcome)
• Live impact counters
• Repurpose to Instagram / WhatsApp / email
• Donor-specific 'your gift did X'
• Annual impact report</t>
  </si>
  <si>
    <t xml:space="preserve">Model: charity:water + Goonj narrative.
KPI: organic reach, returning-donor rate, conversion.</t>
  </si>
  <si>
    <t xml:space="preserve">8. Brand Building</t>
  </si>
  <si>
    <t xml:space="preserve">Become the most trusted animal-welfare NAME in India, not just a Thane trust.</t>
  </si>
  <si>
    <t xml:space="preserve">• Own a positioning: 'the animal charity you can visit and verify'
• Consistent founder/family story as the trust anchor
• PR + earned media (rescue stories), vet/influencer partnerships
• SEO city/cause pages
• Consistent visual identity</t>
  </si>
  <si>
    <t xml:space="preserve">Model: charity:water brand; WWF recognisability.
KPI: branded search, organic reach, direct traffic.</t>
  </si>
  <si>
    <t xml:space="preserve">Growth Math — Where the Money Comes From</t>
  </si>
  <si>
    <t xml:space="preserve">If donations had to grow, the source changes at each tier. Build them in order — each one funds the next.</t>
  </si>
  <si>
    <t xml:space="preserve">Growth tier</t>
  </si>
  <si>
    <t xml:space="preserve">Where it comes from</t>
  </si>
  <si>
    <t xml:space="preserve">Mechanism</t>
  </si>
  <si>
    <t xml:space="preserve">+25%</t>
  </si>
  <si>
    <t xml:space="preserve">Optimise existing traffic — conversion + average gift.</t>
  </si>
  <si>
    <t xml:space="preserve">Surface social proof + live cases on the donate path, speed up checkout, suggested-amount psychology, 80G framing. Lowest effort, fastest payback — no new traffic needed.</t>
  </si>
  <si>
    <t xml:space="preserve">+50%</t>
  </si>
  <si>
    <t xml:space="preserve">The recurring engine — convert one-time donors to monthly + retain them.</t>
  </si>
  <si>
    <t xml:space="preserve">Monthly-as-default + a named club + monthly impact updates. Compounding: every retained monthly donor stacks on the last.</t>
  </si>
  <si>
    <t xml:space="preserve">+100%</t>
  </si>
  <si>
    <t xml:space="preserve">CSR — land 2-3 corporate partners on the existing CSR page.</t>
  </si>
  <si>
    <t xml:space="preserve">One ₹1Cr CSR partner can rival all individual giving. Add financials + a sample utilisation cert + named partners, then run outbound. Plus P2P fundraisers at scale.</t>
  </si>
  <si>
    <t xml:space="preserve">+300%</t>
  </si>
  <si>
    <t xml:space="preserve">Brand + channel expansion, funded by the foundation below it.</t>
  </si>
  <si>
    <t xml:space="preserve">Earned media/PR, GiveIndia/Give.do listing, paid acquisition justified by strong recurring LTV, an HNI/major-donor programme, and replicating the visitable-shelter model in a second city. Only works once trust + proof + recurring are in place.</t>
  </si>
  <si>
    <t xml:space="preserve">12-Month Growth Plan</t>
  </si>
  <si>
    <t xml:space="preserve">Sequenced so each quarter builds the foundation for the next. Proof first, then engine, then scale.</t>
  </si>
  <si>
    <t xml:space="preserve">Quarter</t>
  </si>
  <si>
    <t xml:space="preserve">Theme</t>
  </si>
  <si>
    <t xml:space="preserve">Key initiatives</t>
  </si>
  <si>
    <t xml:space="preserve">Primary target</t>
  </si>
  <si>
    <t xml:space="preserve">Q1 · Months 1-3</t>
  </si>
  <si>
    <t xml:space="preserve">Foundation &amp; proof</t>
  </si>
  <si>
    <t xml:space="preserve">• Test + fix the donation checkout end-to-end
• Publish audited financials + first annual/impact report
• Build live impact counters
• Surface social proof + live cases on home/donate
• Start the monthly rescue-story cadence</t>
  </si>
  <si>
    <t xml:space="preserve">Conversion rate up; proof live</t>
  </si>
  <si>
    <t xml:space="preserve">Q2 · Months 4-6</t>
  </si>
  <si>
    <t xml:space="preserve">Recurring engine</t>
  </si>
  <si>
    <t xml:space="preserve">• Make Monthly the default + launch the Guardian Circle club
• Donor-nurture flow (WhatsApp + email) + pause-instead-of-cancel
• Rebuild the volunteer journey + drive calendar</t>
  </si>
  <si>
    <t xml:space="preserve">Monthly donors growing; retention tracked</t>
  </si>
  <si>
    <t xml:space="preserve">Q3 · Months 7-9</t>
  </si>
  <si>
    <t xml:space="preserve">CSR + peer-to-peer</t>
  </si>
  <si>
    <t xml:space="preserve">• CSR pitch deck + outbound; add financials + sample utilisation cert to the pack
• Land first 1-2 corporate partners + publish case studies
• Seed + showcase fundraisers; add a major-gift/HNI path</t>
  </si>
  <si>
    <t xml:space="preserve">First CSR partners signed; P2P live</t>
  </si>
  <si>
    <t xml:space="preserve">Q4 · Months 10-12</t>
  </si>
  <si>
    <t xml:space="preserve">Scale + brand</t>
  </si>
  <si>
    <t xml:space="preserve">• GiveIndia/Give.do listing + verified badge
• PR / earned media + SEO city pages
• Annual upgrade ask to monthly donors
• Review KPIs + plan Year 2</t>
  </si>
  <si>
    <t xml:space="preserve">Brand reach up; Year-2 plan set</t>
  </si>
  <si>
    <t xml:space="preserve">24-Month Vision</t>
  </si>
  <si>
    <t xml:space="preserve">Where RKM stands in two years if the blueprint is executed.</t>
  </si>
  <si>
    <t xml:space="preserve">Recurring is the backbone</t>
  </si>
  <si>
    <t xml:space="preserve">A named monthly donor club at scale makes predictable recurring giving the largest, most reliable share of revenue — the org can plan, not just react.</t>
  </si>
  <si>
    <t xml:space="preserve">Corporate-backed</t>
  </si>
  <si>
    <t xml:space="preserve">3-5 corporate CSR partners with published case studies + audited financials give RKM institutional credibility and large, repeatable cheques.</t>
  </si>
  <si>
    <t xml:space="preserve">Provably transparent</t>
  </si>
  <si>
    <t xml:space="preserve">A published annual impact report + a live impact dashboard make RKM 'the animal charity you can verify' — the proof gap is closed.</t>
  </si>
  <si>
    <t xml:space="preserve">A national name</t>
  </si>
  <si>
    <t xml:space="preserve">GiveIndia/Give.do verification + earned media take RKM beyond Thane into national recognition and organic, direct traffic.</t>
  </si>
  <si>
    <t xml:space="preserve">Self-reinforcing funnels</t>
  </si>
  <si>
    <t xml:space="preserve">Volunteers and fundraisers continuously feed new donors; storytelling keeps them; upgrades grow them — acquisition cost falls over time.</t>
  </si>
  <si>
    <t xml:space="preserve">The positioning</t>
  </si>
  <si>
    <t xml:space="preserve">RKM Foundation = India's most trusted, most transparent animal-welfare nonprofit: proof-driven, recurring-funded, corporate-backed, and genuinely visitable.</t>
  </si>
  <si>
    <t xml:space="preserve">Payment Test Runbook — Do This FIRST</t>
  </si>
  <si>
    <t xml:space="preserve">Run these small real-money tests before any payment change. Use ₹100. Don't ship payment edits until both pass.</t>
  </si>
  <si>
    <t xml:space="preserve">Test</t>
  </si>
  <si>
    <t xml:space="preserve">Step</t>
  </si>
  <si>
    <t xml:space="preserve">Verify</t>
  </si>
  <si>
    <t xml:space="preserve">Pass?</t>
  </si>
  <si>
    <t xml:space="preserve">Test 1 · ₹100 one-time</t>
  </si>
  <si>
    <t xml:space="preserve">Donate ₹100 one-time on the live site, paying by UPI (enter your PAN to test the 80G path).</t>
  </si>
  <si>
    <t xml:space="preserve">Payment succeeds and you reach a success/thank-you state.</t>
  </si>
  <si>
    <t xml:space="preserve">☐</t>
  </si>
  <si>
    <t xml:space="preserve">Test 1</t>
  </si>
  <si>
    <t xml:space="preserve">A thank-you page actually renders (not a dead 'Opening secure payment…').</t>
  </si>
  <si>
    <t xml:space="preserve">A confirmation email arrives within minutes.</t>
  </si>
  <si>
    <t xml:space="preserve">An 80G receipt (or standard receipt) is issued and is correct.</t>
  </si>
  <si>
    <t xml:space="preserve">Open Razorpay → Payments.</t>
  </si>
  <si>
    <t xml:space="preserve">The ₹100 appears with correct amount, status 'captured', and donor details.</t>
  </si>
  <si>
    <t xml:space="preserve">Check your records / donor list / ledger.</t>
  </si>
  <si>
    <t xml:space="preserve">The donation is recorded against the donor (so it can export for Form 10BD).</t>
  </si>
  <si>
    <t xml:space="preserve">Test 2 · ₹100 monthly</t>
  </si>
  <si>
    <t xml:space="preserve">Start a ₹100 MONTHLY donation. BEFORE paying, note which payment methods appear.</t>
  </si>
  <si>
    <t xml:space="preserve">Confirms the card-only finding: is UPI Autopay / Netbanking offered, or Cards only?</t>
  </si>
  <si>
    <t xml:space="preserve">Test 2</t>
  </si>
  <si>
    <t xml:space="preserve">Complete the subscription (card if that's all that's offered).</t>
  </si>
  <si>
    <t xml:space="preserve">First charge succeeds and a confirmation email arrives.</t>
  </si>
  <si>
    <t xml:space="preserve">Open Razorpay → Subscriptions.</t>
  </si>
  <si>
    <t xml:space="preserve">A subscription is created with the right amount + monthly schedule + 'active' status.</t>
  </si>
  <si>
    <t xml:space="preserve">Cancel via the website's stated method (email) AND via the dashboard.</t>
  </si>
  <si>
    <t xml:space="preserve">Cancellation works and future charges stop; donor gets confirmation.</t>
  </si>
  <si>
    <t xml:space="preserve">(If possible) simulate / check a failed charge.</t>
  </si>
  <si>
    <t xml:space="preserve">There's a retry/dunning rule so a failed monthly charge doesn't silently lose the donor.</t>
  </si>
  <si>
    <t xml:space="preserve">GO / NO-GO</t>
  </si>
  <si>
    <t xml:space="preserve">Do not ship any payment-flow change until Test 1 and Test 2 pass AND the card-only cause is confirmed in the dashboard.</t>
  </si>
  <si>
    <t xml:space="preserve">Enabling UPI Autopay for subscriptions (verify in Razorpay — exact labels vary; some accounts need Razorpay support to switch it on)</t>
  </si>
  <si>
    <t xml:space="preserve">1. Razorpay Dashboard → confirm the account is in LIVE mode with KYC complete and a settlement bank account active.</t>
  </si>
  <si>
    <t xml:space="preserve">2. Confirm the Subscriptions product is activated on the account.</t>
  </si>
  <si>
    <t xml:space="preserve">3. Settings / Configuration → subscription payment methods → enable UPI Autopay (e-mandate). UPI Autopay limit is ₹15,000/charge without extra auth — fine for donations.</t>
  </si>
  <si>
    <t xml:space="preserve">4. Confirm the subscription plan(s) the website uses permit UPI as an authorisation method.</t>
  </si>
  <si>
    <t xml:space="preserve">5. If UPI Autopay isn't available in settings, raise a ticket with Razorpay support to enable e-mandate / UPI Autopay.</t>
  </si>
  <si>
    <t xml:space="preserve">6. Re-run Test 2 and confirm UPI now appears on the monthly checkout.</t>
  </si>
  <si>
    <t xml:space="preserve">Group A — Build-Ready Kit (low risk)</t>
  </si>
  <si>
    <t xml:space="preserve">The eight content/trust wins, specified so a designer or dev can ship them. No payment risk.</t>
  </si>
  <si>
    <t xml:space="preserve">#</t>
  </si>
  <si>
    <t xml:space="preserve">Item</t>
  </si>
  <si>
    <t xml:space="preserve">What to build</t>
  </si>
  <si>
    <t xml:space="preserve">Example copy / spec</t>
  </si>
  <si>
    <t xml:space="preserve">Where it goes</t>
  </si>
  <si>
    <t xml:space="preserve">KPI</t>
  </si>
  <si>
    <t xml:space="preserve">Impact counters</t>
  </si>
  <si>
    <t xml:space="preserve">A counter band pulling real figures from your records.</t>
  </si>
  <si>
    <t xml:space="preserve">'38 animals in care · 2,400 meals this month · ₹3.2L deployed' — USE REAL NUMBERS only.</t>
  </si>
  <si>
    <t xml:space="preserve">Homepage hero + a new Impact page</t>
  </si>
  <si>
    <t xml:space="preserve">Donation conversion</t>
  </si>
  <si>
    <t xml:space="preserve">Annual report + financials</t>
  </si>
  <si>
    <t xml:space="preserve">A 1-page annual impact report PDF + audited financials PDF + a program-vs-admin % graphic.</t>
  </si>
  <si>
    <t xml:space="preserve">'In FY25, 92% of funds went to programmes.' (real figures)</t>
  </si>
  <si>
    <t xml:space="preserve">Footer Downloads, Legal, CSR</t>
  </si>
  <si>
    <t xml:space="preserve">CSR &amp; HNI trust</t>
  </si>
  <si>
    <t xml:space="preserve">Donor testimonials</t>
  </si>
  <si>
    <t xml:space="preserve">3 INDEPENDENT donor quotes (name, photo, city) surfaced where people decide.</t>
  </si>
  <si>
    <t xml:space="preserve">Reuse the strongest /media quotes; clearly label any team-affiliated ones.</t>
  </si>
  <si>
    <t xml:space="preserve">Homepage + donate panel</t>
  </si>
  <si>
    <t xml:space="preserve">Conversion</t>
  </si>
  <si>
    <t xml:space="preserve">Active rescue cases</t>
  </si>
  <si>
    <t xml:space="preserve">2-3 live cases with a funding goal + progress bar.</t>
  </si>
  <si>
    <t xml:space="preserve">'Bruno needs ₹10,000 for surgery — ₹6,200 raised.'</t>
  </si>
  <si>
    <t xml:space="preserve">Recurring donor comms</t>
  </si>
  <si>
    <t xml:space="preserve">A monthly impact email + WhatsApp template and a cadence.</t>
  </si>
  <si>
    <t xml:space="preserve">'This month your gift fed Bruno and 2 others — here's the photo.'</t>
  </si>
  <si>
    <t xml:space="preserve">Email + the existing WhatsApp opt-in</t>
  </si>
  <si>
    <t xml:space="preserve">Retention</t>
  </si>
  <si>
    <t xml:space="preserve">CSR collateral</t>
  </si>
  <si>
    <t xml:space="preserve">A sample utilisation certificate, 1-2 partner case studies, a CSR pitch deck.</t>
  </si>
  <si>
    <t xml:space="preserve">Add to the existing (strong) CSR page + use for outreach.</t>
  </si>
  <si>
    <t xml:space="preserve">CSR page + outbound</t>
  </si>
  <si>
    <t xml:space="preserve">CSR pipeline</t>
  </si>
  <si>
    <t xml:space="preserve">A donor count, any press/partner logos, a verified-NGO badge.</t>
  </si>
  <si>
    <t xml:space="preserve">'Join 1,200+ people who show up for animals.' (real count)</t>
  </si>
  <si>
    <t xml:space="preserve">Homepage + donate</t>
  </si>
  <si>
    <t xml:space="preserve">List on GiveIndia / Give.do and display the verified badge.</t>
  </si>
  <si>
    <t xml:space="preserve">Borrowed trust from a platform donors already know.</t>
  </si>
  <si>
    <t xml:space="preserve">Homepage + donate + CSR</t>
  </si>
  <si>
    <t xml:space="preserve">Guardian Circle — Monthly Donor Club Blueprint</t>
  </si>
  <si>
    <t xml:space="preserve">The highest-leverage growth lever. Recurring revenue is predictable, compounding, and cheaper to grow than one-time.</t>
  </si>
  <si>
    <t xml:space="preserve">Concept &amp; name</t>
  </si>
  <si>
    <t xml:space="preserve">A named monthly club so giving becomes identity, not a transaction. Working name: 'Guardian Circle' (or 'The Daily Bowl'). Members are 'Guardians' who keep a rescued animal fed and safe every day.</t>
  </si>
  <si>
    <t xml:space="preserve">Tiers</t>
  </si>
  <si>
    <t xml:space="preserve">₹500/mo — feeds one rescued dog daily · ₹1,000/mo — food + care for 2-3 animals · ₹2,500/mo — sponsors emergency medical care. Frame each as ONGOING ('every day'), not a one-off outcome.</t>
  </si>
  <si>
    <t xml:space="preserve">The ask</t>
  </si>
  <si>
    <t xml:space="preserve">Make Monthly the DEFAULT on the donate widget (one-time secondary). The default ask is the single biggest lever for recurring share.</t>
  </si>
  <si>
    <t xml:space="preserve">Welcome flow</t>
  </si>
  <si>
    <t xml:space="preserve">On signup: instant thank-you + receipt, a welcome email introducing the club, a digital 'Guardian' badge, and the first impact note within 48h.</t>
  </si>
  <si>
    <t xml:space="preserve">Retention engine</t>
  </si>
  <si>
    <t xml:space="preserve">A monthly photo + one rescue story to every Guardian, over WhatsApp (using the existing opt-in) + email. Retention is bought with proof — this is what makes monthly stick.</t>
  </si>
  <si>
    <t xml:space="preserve">Save mechanics</t>
  </si>
  <si>
    <t xml:space="preserve">Offer 'pause for a month' instead of cancel; on the cancel path, show 'here's what your gift did'. Keep cancellation genuinely easy (it builds trust).</t>
  </si>
  <si>
    <t xml:space="preserve">Upgrade loop</t>
  </si>
  <si>
    <t xml:space="preserve">Once a year, invite Guardians to step up (₹500 → ₹750) tied to a specific new need. Upgrades are far cheaper than new acquisition.</t>
  </si>
  <si>
    <t xml:space="preserve">Payment requirement</t>
  </si>
  <si>
    <t xml:space="preserve">Depends on enabling UPI Autopay for subscriptions (see tab 14) — without it, most Indian donors can't join. Fix that first.</t>
  </si>
  <si>
    <t xml:space="preserve">12-month targets</t>
  </si>
  <si>
    <t xml:space="preserve">Set a target # of active Guardians and a target for recurring as a % of total revenue (today recurring scores 4/10). Track retention monthly. The donor-data analysis (tab 17) sets the baseline.</t>
  </si>
  <si>
    <t xml:space="preserve">Donor Data Analysis — Setup</t>
  </si>
  <si>
    <t xml:space="preserve">The most valuable next step. Export your donation history and I'll run the full donor-economics analysis.</t>
  </si>
  <si>
    <t xml:space="preserve">Step 1 — Export from Razorpay</t>
  </si>
  <si>
    <t xml:space="preserve">Pull the last 24 months: (a) Payments export and (b) Subscriptions export. CSV is fine.</t>
  </si>
  <si>
    <t xml:space="preserve">Fields needed</t>
  </si>
  <si>
    <t xml:space="preserve">Created date · amount · status (captured/failed/refunded) · payment method · donor email · one-time vs subscription · subscription id + status. Donor name/PAN if available.</t>
  </si>
  <si>
    <t xml:space="preserve">Privacy</t>
  </si>
  <si>
    <t xml:space="preserve">Emails are personal data. I'll use them only for this analysis and won't store them after. If you prefer, replace emails with an ID (Donor 1, 2, 3…) before sending — the analysis still works.</t>
  </si>
  <si>
    <t xml:space="preserve">Step 2 — Drop the file</t>
  </si>
  <si>
    <t xml:space="preserve">Save the CSV(s) into your selected folder (the BUILD/rkm-foundation folder) and tell me the filename. I'll take it from there.</t>
  </si>
  <si>
    <t xml:space="preserve">What I'll deliver</t>
  </si>
  <si>
    <t xml:space="preserve">Cohort retention curves · recurring penetration (% of donors and % of revenue that's recurring) · average gift (one-time vs recurring) · donation frequency + repeat rate · LTV by acquisition month · monthly revenue trend · a lapsed-donor win-back list.</t>
  </si>
  <si>
    <t xml:space="preserve">Why it matters</t>
  </si>
  <si>
    <t xml:space="preserve">This answers 'how do we grow donations in 12 months?' with your actual numbers — the same donor-economics view that's far more valuable than another website pass. It also sets the baseline + targets for the Guardian Circle (tab 16).</t>
  </si>
</sst>
</file>

<file path=xl/styles.xml><?xml version="1.0" encoding="utf-8"?>
<styleSheet xmlns="http://schemas.openxmlformats.org/spreadsheetml/2006/main">
  <numFmts count="1">
    <numFmt numFmtId="164" formatCode="General"/>
  </numFmts>
  <fonts count="31">
    <font>
      <sz val="11"/>
      <color theme="1"/>
      <name val="Calibri"/>
      <family val="2"/>
      <charset val="1"/>
    </font>
    <font>
      <sz val="10"/>
      <name val="Arial"/>
      <family val="0"/>
    </font>
    <font>
      <sz val="10"/>
      <name val="Arial"/>
      <family val="0"/>
    </font>
    <font>
      <sz val="10"/>
      <name val="Arial"/>
      <family val="0"/>
    </font>
    <font>
      <b val="true"/>
      <sz val="22"/>
      <color rgb="FF0B5853"/>
      <name val="Calibri"/>
      <family val="0"/>
      <charset val="1"/>
    </font>
    <font>
      <sz val="13"/>
      <color rgb="FF0F766E"/>
      <name val="Calibri"/>
      <family val="0"/>
      <charset val="1"/>
    </font>
    <font>
      <i val="true"/>
      <sz val="10"/>
      <color rgb="FF6B7280"/>
      <name val="Calibri"/>
      <family val="0"/>
      <charset val="1"/>
    </font>
    <font>
      <b val="true"/>
      <sz val="11"/>
      <color rgb="FF0B5853"/>
      <name val="Calibri"/>
      <family val="0"/>
      <charset val="1"/>
    </font>
    <font>
      <sz val="10.5"/>
      <name val="Calibri"/>
      <family val="0"/>
      <charset val="1"/>
    </font>
    <font>
      <b val="true"/>
      <sz val="12"/>
      <color rgb="FF0B5853"/>
      <name val="Calibri"/>
      <family val="0"/>
      <charset val="1"/>
    </font>
    <font>
      <b val="true"/>
      <sz val="10.5"/>
      <color rgb="FF0F766E"/>
      <name val="Calibri"/>
      <family val="0"/>
      <charset val="1"/>
    </font>
    <font>
      <b val="true"/>
      <sz val="10.5"/>
      <color rgb="FF5B2A86"/>
      <name val="Calibri"/>
      <family val="0"/>
      <charset val="1"/>
    </font>
    <font>
      <b val="true"/>
      <sz val="18"/>
      <color rgb="FF0B5853"/>
      <name val="Calibri"/>
      <family val="0"/>
      <charset val="1"/>
    </font>
    <font>
      <b val="true"/>
      <sz val="11"/>
      <color rgb="FFFFFFFF"/>
      <name val="Calibri"/>
      <family val="0"/>
      <charset val="1"/>
    </font>
    <font>
      <i val="true"/>
      <sz val="10.5"/>
      <name val="Calibri"/>
      <family val="0"/>
      <charset val="1"/>
    </font>
    <font>
      <b val="true"/>
      <sz val="10"/>
      <name val="Calibri"/>
      <family val="0"/>
      <charset val="1"/>
    </font>
    <font>
      <b val="true"/>
      <sz val="10.5"/>
      <name val="Calibri"/>
      <family val="0"/>
      <charset val="1"/>
    </font>
    <font>
      <b val="true"/>
      <sz val="11"/>
      <name val="Calibri"/>
      <family val="0"/>
      <charset val="1"/>
    </font>
    <font>
      <sz val="10"/>
      <name val="Calibri"/>
      <family val="0"/>
      <charset val="1"/>
    </font>
    <font>
      <b val="true"/>
      <sz val="12"/>
      <color rgb="FFFFFFFF"/>
      <name val="Calibri"/>
      <family val="0"/>
      <charset val="1"/>
    </font>
    <font>
      <sz val="11"/>
      <color rgb="FFFFFFFF"/>
      <name val="Calibri"/>
      <family val="0"/>
      <charset val="1"/>
    </font>
    <font>
      <i val="true"/>
      <sz val="10"/>
      <color rgb="FFB45309"/>
      <name val="Calibri"/>
      <family val="0"/>
      <charset val="1"/>
    </font>
    <font>
      <b val="true"/>
      <sz val="10.5"/>
      <color rgb="FF0B5853"/>
      <name val="Calibri"/>
      <family val="0"/>
      <charset val="1"/>
    </font>
    <font>
      <b val="true"/>
      <sz val="12"/>
      <name val="Calibri"/>
      <family val="0"/>
      <charset val="1"/>
    </font>
    <font>
      <b val="true"/>
      <sz val="18"/>
      <color rgb="FF5B2A86"/>
      <name val="Calibri"/>
      <family val="0"/>
      <charset val="1"/>
    </font>
    <font>
      <b val="true"/>
      <sz val="11"/>
      <color rgb="FF5B2A86"/>
      <name val="Calibri"/>
      <family val="0"/>
      <charset val="1"/>
    </font>
    <font>
      <b val="true"/>
      <sz val="13"/>
      <color rgb="FF5B2A86"/>
      <name val="Calibri"/>
      <family val="0"/>
      <charset val="1"/>
    </font>
    <font>
      <b val="true"/>
      <sz val="18"/>
      <color rgb="FFB45309"/>
      <name val="Calibri"/>
      <family val="0"/>
      <charset val="1"/>
    </font>
    <font>
      <b val="true"/>
      <sz val="10.5"/>
      <color rgb="FFB45309"/>
      <name val="Calibri"/>
      <family val="0"/>
      <charset val="1"/>
    </font>
    <font>
      <sz val="12"/>
      <name val="Calibri"/>
      <family val="0"/>
      <charset val="1"/>
    </font>
    <font>
      <sz val="10.5"/>
      <color rgb="FF000000"/>
      <name val="Calibri"/>
      <family val="0"/>
      <charset val="1"/>
    </font>
  </fonts>
  <fills count="12">
    <fill>
      <patternFill patternType="none"/>
    </fill>
    <fill>
      <patternFill patternType="gray125"/>
    </fill>
    <fill>
      <patternFill patternType="solid">
        <fgColor rgb="FF0F766E"/>
        <bgColor rgb="FF008080"/>
      </patternFill>
    </fill>
    <fill>
      <patternFill patternType="solid">
        <fgColor rgb="FFF4EFE6"/>
        <bgColor rgb="FFEAF2F1"/>
      </patternFill>
    </fill>
    <fill>
      <patternFill patternType="solid">
        <fgColor rgb="FFFCE4E4"/>
        <bgColor rgb="FFF4EFE6"/>
      </patternFill>
    </fill>
    <fill>
      <patternFill patternType="solid">
        <fgColor rgb="FFFFF3D6"/>
        <bgColor rgb="FFF4EFE6"/>
      </patternFill>
    </fill>
    <fill>
      <patternFill patternType="solid">
        <fgColor rgb="FFEAF2F1"/>
        <bgColor rgb="FFE8F1FC"/>
      </patternFill>
    </fill>
    <fill>
      <patternFill patternType="solid">
        <fgColor rgb="FF0B5853"/>
        <bgColor rgb="FF0F766E"/>
      </patternFill>
    </fill>
    <fill>
      <patternFill patternType="solid">
        <fgColor rgb="FFE8F1FC"/>
        <bgColor rgb="FFEAF2F1"/>
      </patternFill>
    </fill>
    <fill>
      <patternFill patternType="solid">
        <fgColor rgb="FF5B2A86"/>
        <bgColor rgb="FF660066"/>
      </patternFill>
    </fill>
    <fill>
      <patternFill patternType="solid">
        <fgColor rgb="FFEEE6F5"/>
        <bgColor rgb="FFF4EFE6"/>
      </patternFill>
    </fill>
    <fill>
      <patternFill patternType="solid">
        <fgColor rgb="FFB45309"/>
        <bgColor rgb="FF993366"/>
      </patternFill>
    </fill>
  </fills>
  <borders count="2">
    <border diagonalUp="false" diagonalDown="false">
      <left/>
      <right/>
      <top/>
      <bottom/>
      <diagonal/>
    </border>
    <border diagonalUp="false" diagonalDown="false">
      <left style="thin">
        <color rgb="FFD8D8D8"/>
      </left>
      <right style="thin">
        <color rgb="FFD8D8D8"/>
      </right>
      <top style="thin">
        <color rgb="FFD8D8D8"/>
      </top>
      <bottom style="thin">
        <color rgb="FFD8D8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true" indent="1" shrinkToFit="false"/>
      <protection locked="true" hidden="false"/>
    </xf>
    <xf numFmtId="164" fontId="8" fillId="3" borderId="0" xfId="0" applyFont="true" applyBorder="false" applyAlignment="true" applyProtection="false">
      <alignment horizontal="general" vertical="top" textRotation="0" wrapText="true" indent="1"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center" vertical="top" textRotation="0" wrapText="true" indent="0" shrinkToFit="false"/>
      <protection locked="true" hidden="false"/>
    </xf>
    <xf numFmtId="164" fontId="15" fillId="6"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6" borderId="1" xfId="0" applyFont="true" applyBorder="true" applyAlignment="true" applyProtection="false">
      <alignment horizontal="center"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bottom" textRotation="0" wrapText="false" indent="0" shrinkToFit="false"/>
      <protection locked="true" hidden="false"/>
    </xf>
    <xf numFmtId="164" fontId="20" fillId="7" borderId="0" xfId="0" applyFont="true" applyBorder="fals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5" fillId="8" borderId="1" xfId="0" applyFont="true" applyBorder="true" applyAlignment="true" applyProtection="false">
      <alignment horizontal="center" vertical="top"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23" fillId="6" borderId="1" xfId="0" applyFont="true" applyBorder="true" applyAlignment="true" applyProtection="false">
      <alignment horizontal="center" vertical="top" textRotation="0" wrapText="true" indent="0" shrinkToFit="false"/>
      <protection locked="true" hidden="false"/>
    </xf>
    <xf numFmtId="164" fontId="23" fillId="4" borderId="1" xfId="0" applyFont="true" applyBorder="true" applyAlignment="true" applyProtection="false">
      <alignment horizontal="center" vertical="top" textRotation="0" wrapText="true" indent="0" shrinkToFit="false"/>
      <protection locked="true" hidden="false"/>
    </xf>
    <xf numFmtId="164" fontId="23" fillId="5" borderId="1" xfId="0" applyFont="true" applyBorder="true" applyAlignment="true" applyProtection="false">
      <alignment horizontal="center"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center" textRotation="0" wrapText="fals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27" fillId="0" borderId="0" xfId="0" applyFont="true" applyBorder="true" applyAlignment="true" applyProtection="false">
      <alignment horizontal="general" vertical="center" textRotation="0" wrapText="fals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28" fillId="0" borderId="1" xfId="0" applyFont="true" applyBorder="true" applyAlignment="true" applyProtection="false">
      <alignment horizontal="left" vertical="top" textRotation="0" wrapText="true" indent="0" shrinkToFit="false"/>
      <protection locked="true" hidden="false"/>
    </xf>
    <xf numFmtId="164" fontId="29" fillId="0" borderId="1" xfId="0" applyFont="true" applyBorder="true" applyAlignment="true" applyProtection="false">
      <alignment horizontal="center" vertical="top" textRotation="0" wrapText="true" indent="0"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4" fontId="13" fillId="11"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F766E"/>
          <bgColor rgb="FF000000"/>
        </patternFill>
      </fill>
    </dxf>
    <dxf>
      <fill>
        <patternFill patternType="solid">
          <bgColor rgb="FF000000"/>
        </patternFill>
      </fill>
    </dxf>
    <dxf>
      <fill>
        <patternFill patternType="solid">
          <fgColor rgb="FFFFFFFF"/>
          <bgColor rgb="FF000000"/>
        </patternFill>
      </fill>
    </dxf>
    <dxf>
      <fill>
        <patternFill patternType="solid">
          <fgColor rgb="FFE8F1FC"/>
          <bgColor rgb="FF000000"/>
        </patternFill>
      </fill>
    </dxf>
    <dxf>
      <fill>
        <patternFill patternType="solid">
          <fgColor rgb="FFFCE4E4"/>
          <bgColor rgb="FF000000"/>
        </patternFill>
      </fill>
    </dxf>
    <dxf>
      <fill>
        <patternFill patternType="solid">
          <fgColor rgb="FFFFF3D6"/>
          <bgColor rgb="FF000000"/>
        </patternFill>
      </fill>
    </dxf>
    <dxf>
      <fill>
        <patternFill patternType="solid">
          <fgColor rgb="FF0B585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3D6"/>
      <rgbColor rgb="FFE8F1FC"/>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AF2F1"/>
      <rgbColor rgb="FFF4EFE6"/>
      <rgbColor rgb="FFEEE6F5"/>
      <rgbColor rgb="FF99CCFF"/>
      <rgbColor rgb="FFFF99CC"/>
      <rgbColor rgb="FFCC99FF"/>
      <rgbColor rgb="FFFCE4E4"/>
      <rgbColor rgb="FF3366FF"/>
      <rgbColor rgb="FF33CCCC"/>
      <rgbColor rgb="FF99CC00"/>
      <rgbColor rgb="FFFFCC00"/>
      <rgbColor rgb="FFFF9900"/>
      <rgbColor rgb="FFFF6600"/>
      <rgbColor rgb="FF6B7280"/>
      <rgbColor rgb="FF969696"/>
      <rgbColor rgb="FF0B5853"/>
      <rgbColor rgb="FF339966"/>
      <rgbColor rgb="FF003300"/>
      <rgbColor rgb="FF333300"/>
      <rgbColor rgb="FFB45309"/>
      <rgbColor rgb="FF993366"/>
      <rgbColor rgb="FF5B2A8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s>
  <sheetData>
    <row r="2" customFormat="false" ht="26.8" hidden="false" customHeight="false" outlineLevel="0" collapsed="false">
      <c r="B2" s="1" t="s">
        <v>0</v>
      </c>
    </row>
    <row r="3" customFormat="false" ht="16.15" hidden="false" customHeight="false" outlineLevel="0" collapsed="false">
      <c r="B3" s="2" t="s">
        <v>1</v>
      </c>
    </row>
    <row r="4" customFormat="false" ht="15" hidden="false" customHeight="false" outlineLevel="0" collapsed="false">
      <c r="B4" s="3" t="s">
        <v>2</v>
      </c>
    </row>
    <row r="6" customFormat="false" ht="57.75" hidden="false" customHeight="true" outlineLevel="0" collapsed="false">
      <c r="B6" s="4" t="s">
        <v>3</v>
      </c>
      <c r="C6" s="5" t="s">
        <v>4</v>
      </c>
    </row>
    <row r="7" customFormat="false" ht="57.75" hidden="false" customHeight="true" outlineLevel="0" collapsed="false">
      <c r="B7" s="4" t="s">
        <v>5</v>
      </c>
      <c r="C7" s="5" t="s">
        <v>6</v>
      </c>
    </row>
    <row r="8" customFormat="false" ht="57.75" hidden="false" customHeight="true" outlineLevel="0" collapsed="false">
      <c r="B8" s="4" t="s">
        <v>7</v>
      </c>
      <c r="C8" s="5" t="s">
        <v>8</v>
      </c>
    </row>
    <row r="9" customFormat="false" ht="57.75" hidden="false" customHeight="true" outlineLevel="0" collapsed="false">
      <c r="B9" s="4" t="s">
        <v>9</v>
      </c>
      <c r="C9" s="5" t="s">
        <v>10</v>
      </c>
    </row>
    <row r="11" customFormat="false" ht="15" hidden="false" customHeight="false" outlineLevel="0" collapsed="false">
      <c r="B11" s="6" t="s">
        <v>11</v>
      </c>
    </row>
    <row r="12" customFormat="false" ht="24" hidden="false" customHeight="true" outlineLevel="0" collapsed="false">
      <c r="B12" s="7" t="s">
        <v>12</v>
      </c>
      <c r="C12" s="5" t="s">
        <v>13</v>
      </c>
    </row>
    <row r="13" customFormat="false" ht="24" hidden="false" customHeight="true" outlineLevel="0" collapsed="false">
      <c r="B13" s="7" t="s">
        <v>14</v>
      </c>
      <c r="C13" s="5" t="s">
        <v>15</v>
      </c>
    </row>
    <row r="14" customFormat="false" ht="24" hidden="false" customHeight="true" outlineLevel="0" collapsed="false">
      <c r="B14" s="7" t="s">
        <v>16</v>
      </c>
      <c r="C14" s="5" t="s">
        <v>17</v>
      </c>
    </row>
    <row r="15" customFormat="false" ht="24" hidden="false" customHeight="true" outlineLevel="0" collapsed="false">
      <c r="B15" s="7" t="s">
        <v>18</v>
      </c>
      <c r="C15" s="5" t="s">
        <v>19</v>
      </c>
    </row>
    <row r="16" customFormat="false" ht="24" hidden="false" customHeight="true" outlineLevel="0" collapsed="false">
      <c r="B16" s="7" t="s">
        <v>20</v>
      </c>
      <c r="C16" s="5" t="s">
        <v>21</v>
      </c>
    </row>
    <row r="17" customFormat="false" ht="24" hidden="false" customHeight="true" outlineLevel="0" collapsed="false">
      <c r="B17" s="7" t="s">
        <v>22</v>
      </c>
      <c r="C17" s="5" t="s">
        <v>23</v>
      </c>
    </row>
    <row r="18" customFormat="false" ht="24" hidden="false" customHeight="true" outlineLevel="0" collapsed="false">
      <c r="B18" s="7" t="s">
        <v>24</v>
      </c>
      <c r="C18" s="5" t="s">
        <v>25</v>
      </c>
    </row>
    <row r="19" customFormat="false" ht="24" hidden="false" customHeight="true" outlineLevel="0" collapsed="false">
      <c r="B19" s="7" t="s">
        <v>26</v>
      </c>
      <c r="C19" s="5" t="s">
        <v>27</v>
      </c>
    </row>
    <row r="20" customFormat="false" ht="24" hidden="false" customHeight="true" outlineLevel="0" collapsed="false">
      <c r="B20" s="7" t="s">
        <v>28</v>
      </c>
      <c r="C20" s="5" t="s">
        <v>29</v>
      </c>
    </row>
    <row r="21" customFormat="false" ht="13.5" hidden="false" customHeight="true" outlineLevel="0" collapsed="false">
      <c r="B21" s="8" t="s">
        <v>30</v>
      </c>
      <c r="C21" s="5"/>
    </row>
    <row r="22" customFormat="false" ht="24" hidden="false" customHeight="true" outlineLevel="0" collapsed="false">
      <c r="B22" s="7" t="s">
        <v>31</v>
      </c>
      <c r="C22" s="5" t="s">
        <v>32</v>
      </c>
    </row>
    <row r="23" customFormat="false" ht="24" hidden="false" customHeight="true" outlineLevel="0" collapsed="false">
      <c r="B23" s="7" t="s">
        <v>33</v>
      </c>
      <c r="C23" s="5" t="s">
        <v>34</v>
      </c>
    </row>
    <row r="24" customFormat="false" ht="24" hidden="false" customHeight="true" outlineLevel="0" collapsed="false">
      <c r="B24" s="7" t="s">
        <v>35</v>
      </c>
      <c r="C24" s="5" t="s">
        <v>36</v>
      </c>
    </row>
    <row r="25" customFormat="false" ht="24" hidden="false" customHeight="true" outlineLevel="0" collapsed="false">
      <c r="B25" s="7" t="s">
        <v>37</v>
      </c>
      <c r="C25" s="5" t="s">
        <v>38</v>
      </c>
    </row>
    <row r="26" customFormat="false" ht="24" hidden="false" customHeight="true" outlineLevel="0" collapsed="false">
      <c r="B26" s="7" t="s">
        <v>39</v>
      </c>
      <c r="C26" s="5" t="s">
        <v>40</v>
      </c>
    </row>
    <row r="27" customFormat="false" ht="13.5" hidden="false" customHeight="true" outlineLevel="0" collapsed="false">
      <c r="B27" s="8" t="s">
        <v>41</v>
      </c>
      <c r="C27" s="5"/>
    </row>
    <row r="28" customFormat="false" ht="24" hidden="false" customHeight="true" outlineLevel="0" collapsed="false">
      <c r="B28" s="7" t="s">
        <v>42</v>
      </c>
      <c r="C28" s="5" t="s">
        <v>43</v>
      </c>
    </row>
    <row r="29" customFormat="false" ht="24" hidden="false" customHeight="true" outlineLevel="0" collapsed="false">
      <c r="B29" s="7" t="s">
        <v>44</v>
      </c>
      <c r="C29" s="5" t="s">
        <v>45</v>
      </c>
    </row>
    <row r="30" customFormat="false" ht="24" hidden="false" customHeight="true" outlineLevel="0" collapsed="false">
      <c r="B30" s="7" t="s">
        <v>46</v>
      </c>
      <c r="C30" s="5" t="s">
        <v>47</v>
      </c>
    </row>
    <row r="31" customFormat="false" ht="24" hidden="false" customHeight="true" outlineLevel="0" collapsed="false">
      <c r="B31" s="7" t="s">
        <v>48</v>
      </c>
      <c r="C31" s="5"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2"/>
  </cols>
  <sheetData>
    <row r="1" customFormat="false" ht="30" hidden="false" customHeight="true" outlineLevel="0" collapsed="false">
      <c r="A1" s="9" t="s">
        <v>50</v>
      </c>
      <c r="B1" s="9"/>
    </row>
    <row r="2" customFormat="false" ht="15.75" hidden="false" customHeight="true" outlineLevel="0" collapsed="false">
      <c r="A2" s="10" t="s">
        <v>51</v>
      </c>
      <c r="B2" s="10"/>
    </row>
    <row r="4" customFormat="false" ht="19.5" hidden="false" customHeight="true" outlineLevel="0" collapsed="false">
      <c r="A4" s="11" t="s">
        <v>52</v>
      </c>
    </row>
    <row r="5" customFormat="false" ht="66.75" hidden="false" customHeight="true" outlineLevel="0" collapsed="false">
      <c r="A5" s="12" t="s">
        <v>53</v>
      </c>
    </row>
    <row r="7" customFormat="false" ht="19.5" hidden="false" customHeight="true" outlineLevel="0" collapsed="false">
      <c r="A7" s="11" t="s">
        <v>54</v>
      </c>
    </row>
    <row r="8" customFormat="false" ht="66.75" hidden="false" customHeight="true" outlineLevel="0" collapsed="false">
      <c r="A8" s="12" t="s">
        <v>55</v>
      </c>
    </row>
    <row r="10" customFormat="false" ht="19.5" hidden="false" customHeight="true" outlineLevel="0" collapsed="false">
      <c r="A10" s="11" t="s">
        <v>56</v>
      </c>
    </row>
    <row r="11" customFormat="false" ht="66.75" hidden="false" customHeight="true" outlineLevel="0" collapsed="false">
      <c r="A11" s="12" t="s">
        <v>57</v>
      </c>
    </row>
    <row r="13" customFormat="false" ht="19.5" hidden="false" customHeight="true" outlineLevel="0" collapsed="false">
      <c r="A13" s="11" t="s">
        <v>58</v>
      </c>
    </row>
    <row r="14" customFormat="false" ht="79.5" hidden="false" customHeight="true" outlineLevel="0" collapsed="false">
      <c r="A14" s="12" t="s">
        <v>59</v>
      </c>
    </row>
    <row r="16" customFormat="false" ht="19.5" hidden="false" customHeight="true" outlineLevel="0" collapsed="false">
      <c r="A16" s="11" t="s">
        <v>60</v>
      </c>
    </row>
    <row r="17" customFormat="false" ht="105.75" hidden="false" customHeight="true" outlineLevel="0" collapsed="false">
      <c r="A17" s="12" t="s">
        <v>61</v>
      </c>
    </row>
    <row r="19" customFormat="false" ht="19.5" hidden="false" customHeight="true" outlineLevel="0" collapsed="false">
      <c r="A19" s="11" t="s">
        <v>62</v>
      </c>
    </row>
    <row r="20" customFormat="false" ht="66.75" hidden="false" customHeight="true" outlineLevel="0" collapsed="false">
      <c r="A20" s="12" t="s">
        <v>63</v>
      </c>
    </row>
    <row r="22" customFormat="false" ht="19.5" hidden="false" customHeight="true" outlineLevel="0" collapsed="false">
      <c r="A22" s="11" t="s">
        <v>64</v>
      </c>
    </row>
    <row r="23" customFormat="false" ht="66.75" hidden="false" customHeight="true" outlineLevel="0" collapsed="false">
      <c r="A23" s="12" t="s">
        <v>65</v>
      </c>
    </row>
    <row r="25" customFormat="false" ht="19.5" hidden="false" customHeight="true" outlineLevel="0" collapsed="false">
      <c r="A25" s="11" t="s">
        <v>66</v>
      </c>
    </row>
    <row r="26" customFormat="false" ht="93" hidden="false" customHeight="true" outlineLevel="0" collapsed="false">
      <c r="A26" s="12" t="s">
        <v>67</v>
      </c>
    </row>
    <row r="28" customFormat="false" ht="19.5" hidden="false" customHeight="true" outlineLevel="0" collapsed="false">
      <c r="A28" s="11" t="s">
        <v>68</v>
      </c>
    </row>
    <row r="29" customFormat="false" ht="66.75" hidden="false" customHeight="true" outlineLevel="0" collapsed="false">
      <c r="A29" s="12" t="s">
        <v>69</v>
      </c>
    </row>
    <row r="31" customFormat="false" ht="19.5" hidden="false" customHeight="true" outlineLevel="0" collapsed="false">
      <c r="A31" s="11" t="s">
        <v>70</v>
      </c>
    </row>
    <row r="32" customFormat="false" ht="66.75" hidden="false" customHeight="true" outlineLevel="0" collapsed="false">
      <c r="A32" s="12" t="s">
        <v>71</v>
      </c>
    </row>
    <row r="34" customFormat="false" ht="19.5" hidden="false" customHeight="true" outlineLevel="0" collapsed="false">
      <c r="A34" s="11" t="s">
        <v>72</v>
      </c>
    </row>
    <row r="35" customFormat="false" ht="54" hidden="false" customHeight="true" outlineLevel="0" collapsed="false">
      <c r="A35" s="12" t="s">
        <v>73</v>
      </c>
    </row>
    <row r="37" customFormat="false" ht="19.5" hidden="false" customHeight="true" outlineLevel="0" collapsed="false">
      <c r="A37" s="11" t="s">
        <v>74</v>
      </c>
    </row>
    <row r="38" customFormat="false" ht="54" hidden="false" customHeight="true" outlineLevel="0" collapsed="false">
      <c r="A38" s="12" t="s">
        <v>75</v>
      </c>
    </row>
    <row r="40" customFormat="false" ht="19.5" hidden="false" customHeight="true" outlineLevel="0" collapsed="false">
      <c r="A40" s="11" t="s">
        <v>76</v>
      </c>
    </row>
    <row r="41" customFormat="false" ht="66.75" hidden="false" customHeight="true" outlineLevel="0" collapsed="false">
      <c r="A41" s="12" t="s">
        <v>77</v>
      </c>
    </row>
    <row r="43" customFormat="false" ht="19.5" hidden="false" customHeight="true" outlineLevel="0" collapsed="false">
      <c r="A43" s="11" t="s">
        <v>78</v>
      </c>
    </row>
    <row r="44" customFormat="false" ht="54" hidden="false" customHeight="true" outlineLevel="0" collapsed="false">
      <c r="A44" s="12" t="s">
        <v>79</v>
      </c>
    </row>
    <row r="46" customFormat="false" ht="19.5" hidden="false" customHeight="true" outlineLevel="0" collapsed="false">
      <c r="A46" s="11" t="s">
        <v>80</v>
      </c>
    </row>
    <row r="47" customFormat="false" ht="40.5" hidden="false" customHeight="true" outlineLevel="0" collapsed="false">
      <c r="A47" s="12" t="s">
        <v>81</v>
      </c>
    </row>
    <row r="49" customFormat="false" ht="19.5" hidden="false" customHeight="true" outlineLevel="0" collapsed="false">
      <c r="A49" s="11" t="s">
        <v>82</v>
      </c>
    </row>
    <row r="50" customFormat="false" ht="66.75" hidden="false" customHeight="true" outlineLevel="0" collapsed="false">
      <c r="A50" s="12" t="s">
        <v>83</v>
      </c>
    </row>
    <row r="52" customFormat="false" ht="19.5" hidden="false" customHeight="true" outlineLevel="0" collapsed="false">
      <c r="A52" s="11" t="s">
        <v>84</v>
      </c>
    </row>
    <row r="53" customFormat="false" ht="40.5" hidden="false" customHeight="true" outlineLevel="0" collapsed="false">
      <c r="A53" s="12" t="s">
        <v>85</v>
      </c>
    </row>
    <row r="55" customFormat="false" ht="19.5" hidden="false" customHeight="true" outlineLevel="0" collapsed="false">
      <c r="A55" s="11" t="s">
        <v>86</v>
      </c>
    </row>
    <row r="56" customFormat="false" ht="93" hidden="false" customHeight="true" outlineLevel="0" collapsed="false">
      <c r="A56" s="12" t="s">
        <v>87</v>
      </c>
    </row>
    <row r="58" customFormat="false" ht="19.5" hidden="false" customHeight="true" outlineLevel="0" collapsed="false">
      <c r="A58" s="11" t="s">
        <v>88</v>
      </c>
    </row>
    <row r="59" customFormat="false" ht="66.75" hidden="false" customHeight="true" outlineLevel="0" collapsed="false">
      <c r="A59" s="12" t="s">
        <v>89</v>
      </c>
    </row>
    <row r="61" customFormat="false" ht="19.5" hidden="false" customHeight="true" outlineLevel="0" collapsed="false">
      <c r="A61" s="11" t="s">
        <v>90</v>
      </c>
    </row>
    <row r="62" customFormat="false" ht="40.5" hidden="false" customHeight="true" outlineLevel="0" collapsed="false">
      <c r="A62" s="12" t="s">
        <v>91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60"/>
    <col collapsed="false" customWidth="true" hidden="false" outlineLevel="0" max="3" min="3" style="0" width="16"/>
  </cols>
  <sheetData>
    <row r="1" customFormat="false" ht="30" hidden="false" customHeight="true" outlineLevel="0" collapsed="false">
      <c r="A1" s="9" t="s">
        <v>92</v>
      </c>
      <c r="B1" s="9"/>
      <c r="C1" s="9"/>
    </row>
    <row r="2" customFormat="false" ht="15.75" hidden="false" customHeight="true" outlineLevel="0" collapsed="false">
      <c r="A2" s="10" t="s">
        <v>93</v>
      </c>
      <c r="B2" s="10"/>
      <c r="C2" s="10"/>
    </row>
    <row r="4" customFormat="false" ht="15" hidden="false" customHeight="false" outlineLevel="0" collapsed="false">
      <c r="A4" s="13" t="s">
        <v>94</v>
      </c>
      <c r="B4" s="13" t="s">
        <v>95</v>
      </c>
      <c r="C4" s="13" t="s">
        <v>96</v>
      </c>
    </row>
    <row r="5" customFormat="false" ht="57.75" hidden="false" customHeight="true" outlineLevel="0" collapsed="false">
      <c r="A5" s="14" t="s">
        <v>97</v>
      </c>
      <c r="B5" s="15" t="s">
        <v>98</v>
      </c>
      <c r="C5" s="16" t="s">
        <v>99</v>
      </c>
    </row>
    <row r="6" customFormat="false" ht="57.75" hidden="false" customHeight="true" outlineLevel="0" collapsed="false">
      <c r="A6" s="14" t="s">
        <v>100</v>
      </c>
      <c r="B6" s="15" t="s">
        <v>101</v>
      </c>
      <c r="C6" s="16" t="s">
        <v>99</v>
      </c>
    </row>
    <row r="7" customFormat="false" ht="57.75" hidden="false" customHeight="true" outlineLevel="0" collapsed="false">
      <c r="A7" s="14" t="s">
        <v>102</v>
      </c>
      <c r="B7" s="15" t="s">
        <v>103</v>
      </c>
      <c r="C7" s="16" t="s">
        <v>99</v>
      </c>
    </row>
    <row r="8" customFormat="false" ht="57.75" hidden="false" customHeight="true" outlineLevel="0" collapsed="false">
      <c r="A8" s="14" t="s">
        <v>104</v>
      </c>
      <c r="B8" s="15" t="s">
        <v>105</v>
      </c>
      <c r="C8" s="16" t="s">
        <v>99</v>
      </c>
    </row>
    <row r="9" customFormat="false" ht="57.75" hidden="false" customHeight="true" outlineLevel="0" collapsed="false">
      <c r="A9" s="14" t="s">
        <v>106</v>
      </c>
      <c r="B9" s="15" t="s">
        <v>107</v>
      </c>
      <c r="C9" s="16" t="s">
        <v>99</v>
      </c>
    </row>
    <row r="10" customFormat="false" ht="57.75" hidden="false" customHeight="true" outlineLevel="0" collapsed="false">
      <c r="A10" s="14" t="s">
        <v>108</v>
      </c>
      <c r="B10" s="15" t="s">
        <v>109</v>
      </c>
      <c r="C10" s="17" t="s">
        <v>110</v>
      </c>
    </row>
    <row r="11" customFormat="false" ht="57.75" hidden="false" customHeight="true" outlineLevel="0" collapsed="false">
      <c r="A11" s="14" t="s">
        <v>111</v>
      </c>
      <c r="B11" s="15" t="s">
        <v>112</v>
      </c>
      <c r="C11" s="18" t="s">
        <v>113</v>
      </c>
    </row>
    <row r="12" customFormat="false" ht="57.75" hidden="false" customHeight="true" outlineLevel="0" collapsed="false">
      <c r="A12" s="14" t="s">
        <v>114</v>
      </c>
      <c r="B12" s="15" t="s">
        <v>115</v>
      </c>
      <c r="C12" s="18" t="s">
        <v>113</v>
      </c>
    </row>
    <row r="13" customFormat="false" ht="57.75" hidden="false" customHeight="true" outlineLevel="0" collapsed="false">
      <c r="A13" s="14" t="s">
        <v>116</v>
      </c>
      <c r="B13" s="15" t="s">
        <v>117</v>
      </c>
      <c r="C13" s="18" t="s">
        <v>113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30"/>
    <col collapsed="false" customWidth="true" hidden="false" outlineLevel="0" max="4" min="4" style="0" width="70"/>
  </cols>
  <sheetData>
    <row r="1" customFormat="false" ht="30" hidden="false" customHeight="true" outlineLevel="0" collapsed="false">
      <c r="A1" s="9" t="s">
        <v>118</v>
      </c>
      <c r="B1" s="9"/>
      <c r="C1" s="9"/>
      <c r="D1" s="9"/>
    </row>
    <row r="2" customFormat="false" ht="15.75" hidden="false" customHeight="true" outlineLevel="0" collapsed="false">
      <c r="A2" s="10" t="s">
        <v>119</v>
      </c>
      <c r="B2" s="10"/>
      <c r="C2" s="10"/>
      <c r="D2" s="10"/>
    </row>
    <row r="4" customFormat="false" ht="15" hidden="false" customHeight="false" outlineLevel="0" collapsed="false">
      <c r="A4" s="13" t="s">
        <v>120</v>
      </c>
      <c r="B4" s="13" t="s">
        <v>121</v>
      </c>
      <c r="C4" s="13" t="s">
        <v>122</v>
      </c>
      <c r="D4" s="13" t="s">
        <v>123</v>
      </c>
    </row>
    <row r="5" customFormat="false" ht="42" hidden="false" customHeight="true" outlineLevel="0" collapsed="false">
      <c r="A5" s="19" t="s">
        <v>124</v>
      </c>
      <c r="B5" s="20" t="n">
        <v>9</v>
      </c>
      <c r="C5" s="21" t="s">
        <v>125</v>
      </c>
      <c r="D5" s="21" t="s">
        <v>126</v>
      </c>
    </row>
    <row r="6" customFormat="false" ht="42" hidden="false" customHeight="true" outlineLevel="0" collapsed="false">
      <c r="A6" s="19" t="s">
        <v>127</v>
      </c>
      <c r="B6" s="20" t="n">
        <v>8</v>
      </c>
      <c r="C6" s="21" t="s">
        <v>128</v>
      </c>
      <c r="D6" s="21" t="s">
        <v>129</v>
      </c>
    </row>
    <row r="7" customFormat="false" ht="42" hidden="false" customHeight="true" outlineLevel="0" collapsed="false">
      <c r="A7" s="19" t="s">
        <v>130</v>
      </c>
      <c r="B7" s="20" t="n">
        <v>7</v>
      </c>
      <c r="C7" s="21" t="s">
        <v>131</v>
      </c>
      <c r="D7" s="21" t="s">
        <v>132</v>
      </c>
    </row>
    <row r="8" customFormat="false" ht="42" hidden="false" customHeight="true" outlineLevel="0" collapsed="false">
      <c r="A8" s="19" t="s">
        <v>133</v>
      </c>
      <c r="B8" s="20" t="n">
        <v>7</v>
      </c>
      <c r="C8" s="21" t="s">
        <v>134</v>
      </c>
      <c r="D8" s="21" t="s">
        <v>135</v>
      </c>
    </row>
    <row r="9" customFormat="false" ht="42" hidden="false" customHeight="true" outlineLevel="0" collapsed="false">
      <c r="A9" s="19" t="s">
        <v>136</v>
      </c>
      <c r="B9" s="20" t="n">
        <v>7</v>
      </c>
      <c r="C9" s="21" t="s">
        <v>137</v>
      </c>
      <c r="D9" s="21" t="s">
        <v>138</v>
      </c>
    </row>
    <row r="10" customFormat="false" ht="42" hidden="false" customHeight="true" outlineLevel="0" collapsed="false">
      <c r="A10" s="19" t="s">
        <v>139</v>
      </c>
      <c r="B10" s="22" t="n">
        <v>6</v>
      </c>
      <c r="C10" s="21" t="s">
        <v>140</v>
      </c>
      <c r="D10" s="21" t="s">
        <v>141</v>
      </c>
    </row>
    <row r="11" customFormat="false" ht="42" hidden="false" customHeight="true" outlineLevel="0" collapsed="false">
      <c r="A11" s="19" t="s">
        <v>142</v>
      </c>
      <c r="B11" s="22" t="n">
        <v>4</v>
      </c>
      <c r="C11" s="21" t="s">
        <v>143</v>
      </c>
      <c r="D11" s="21" t="s">
        <v>144</v>
      </c>
    </row>
    <row r="12" customFormat="false" ht="42" hidden="false" customHeight="true" outlineLevel="0" collapsed="false">
      <c r="A12" s="19" t="s">
        <v>145</v>
      </c>
      <c r="B12" s="22" t="n">
        <v>4</v>
      </c>
      <c r="C12" s="21" t="s">
        <v>146</v>
      </c>
      <c r="D12" s="21" t="s">
        <v>147</v>
      </c>
    </row>
    <row r="13" customFormat="false" ht="42" hidden="false" customHeight="true" outlineLevel="0" collapsed="false">
      <c r="A13" s="19" t="s">
        <v>148</v>
      </c>
      <c r="B13" s="22" t="n">
        <v>4</v>
      </c>
      <c r="C13" s="21" t="s">
        <v>149</v>
      </c>
      <c r="D13" s="21" t="s">
        <v>150</v>
      </c>
    </row>
    <row r="14" customFormat="false" ht="42" hidden="false" customHeight="true" outlineLevel="0" collapsed="false">
      <c r="A14" s="19" t="s">
        <v>151</v>
      </c>
      <c r="B14" s="22" t="n">
        <v>4</v>
      </c>
      <c r="C14" s="21" t="s">
        <v>152</v>
      </c>
      <c r="D14" s="21" t="s">
        <v>153</v>
      </c>
    </row>
    <row r="15" customFormat="false" ht="42" hidden="false" customHeight="true" outlineLevel="0" collapsed="false">
      <c r="A15" s="19" t="s">
        <v>154</v>
      </c>
      <c r="B15" s="22" t="n">
        <v>4</v>
      </c>
      <c r="C15" s="21" t="s">
        <v>155</v>
      </c>
      <c r="D15" s="21" t="s">
        <v>156</v>
      </c>
    </row>
    <row r="16" customFormat="false" ht="42" hidden="false" customHeight="true" outlineLevel="0" collapsed="false">
      <c r="A16" s="19" t="s">
        <v>157</v>
      </c>
      <c r="B16" s="23" t="n">
        <v>3</v>
      </c>
      <c r="C16" s="21" t="s">
        <v>158</v>
      </c>
      <c r="D16" s="21" t="s">
        <v>159</v>
      </c>
    </row>
    <row r="17" customFormat="false" ht="42" hidden="false" customHeight="true" outlineLevel="0" collapsed="false">
      <c r="A17" s="19" t="s">
        <v>160</v>
      </c>
      <c r="B17" s="23" t="n">
        <v>3</v>
      </c>
      <c r="C17" s="21" t="s">
        <v>161</v>
      </c>
      <c r="D17" s="21" t="s">
        <v>162</v>
      </c>
    </row>
    <row r="18" customFormat="false" ht="42" hidden="false" customHeight="true" outlineLevel="0" collapsed="false">
      <c r="A18" s="19" t="s">
        <v>163</v>
      </c>
      <c r="B18" s="23" t="n">
        <v>3</v>
      </c>
      <c r="C18" s="21" t="s">
        <v>164</v>
      </c>
      <c r="D18" s="21" t="s">
        <v>165</v>
      </c>
    </row>
    <row r="19" customFormat="false" ht="42" hidden="false" customHeight="true" outlineLevel="0" collapsed="false">
      <c r="A19" s="19" t="s">
        <v>166</v>
      </c>
      <c r="B19" s="23" t="n">
        <v>3</v>
      </c>
      <c r="C19" s="21" t="s">
        <v>167</v>
      </c>
      <c r="D19" s="21" t="s">
        <v>168</v>
      </c>
    </row>
    <row r="20" customFormat="false" ht="45.75" hidden="false" customHeight="true" outlineLevel="0" collapsed="false">
      <c r="A20" s="24" t="s">
        <v>169</v>
      </c>
      <c r="B20" s="25" t="n">
        <f aca="false">ROUND(AVERAGE(B5:B19),1)</f>
        <v>5.1</v>
      </c>
      <c r="C20" s="24" t="s">
        <v>170</v>
      </c>
      <c r="D20" s="26" t="s">
        <v>171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14"/>
    <col collapsed="false" customWidth="true" hidden="false" outlineLevel="0" max="4" min="4" style="0" width="40"/>
    <col collapsed="false" customWidth="true" hidden="false" outlineLevel="0" max="5" min="5" style="0" width="13"/>
    <col collapsed="false" customWidth="true" hidden="false" outlineLevel="0" max="6" min="6" style="0" width="52"/>
    <col collapsed="false" customWidth="true" hidden="false" outlineLevel="0" max="7" min="7" style="0" width="18"/>
    <col collapsed="false" customWidth="true" hidden="false" outlineLevel="0" max="8" min="8" style="0" width="8"/>
    <col collapsed="false" customWidth="true" hidden="false" outlineLevel="0" max="10" min="9" style="0" width="7"/>
    <col collapsed="false" customWidth="true" hidden="false" outlineLevel="0" max="11" min="11" style="0" width="11"/>
    <col collapsed="false" customWidth="true" hidden="false" outlineLevel="0" max="12" min="12" style="0" width="14"/>
    <col collapsed="false" customWidth="true" hidden="false" outlineLevel="0" max="13" min="13" style="0" width="12"/>
  </cols>
  <sheetData>
    <row r="1" customFormat="false" ht="30" hidden="false" customHeight="true" outlineLevel="0" collapsed="false">
      <c r="A1" s="9" t="s">
        <v>172</v>
      </c>
      <c r="B1" s="9"/>
      <c r="C1" s="9"/>
      <c r="D1" s="9"/>
      <c r="E1" s="9"/>
      <c r="F1" s="9"/>
      <c r="G1" s="9"/>
      <c r="H1" s="9"/>
      <c r="I1" s="9"/>
      <c r="J1" s="9"/>
      <c r="K1" s="9"/>
      <c r="L1" s="9"/>
      <c r="M1" s="9"/>
    </row>
    <row r="2" customFormat="false" ht="15.75" hidden="false" customHeight="true" outlineLevel="0" collapsed="false">
      <c r="A2" s="10" t="s">
        <v>173</v>
      </c>
      <c r="B2" s="10"/>
      <c r="C2" s="10"/>
      <c r="D2" s="10"/>
      <c r="E2" s="10"/>
      <c r="F2" s="10"/>
      <c r="G2" s="10"/>
      <c r="H2" s="10"/>
      <c r="I2" s="10"/>
      <c r="J2" s="10"/>
      <c r="K2" s="10"/>
      <c r="L2" s="10"/>
      <c r="M2" s="10"/>
    </row>
    <row r="4" customFormat="false" ht="23.85" hidden="false" customHeight="false" outlineLevel="0" collapsed="false">
      <c r="A4" s="13" t="s">
        <v>174</v>
      </c>
      <c r="B4" s="13" t="s">
        <v>175</v>
      </c>
      <c r="C4" s="13" t="s">
        <v>176</v>
      </c>
      <c r="D4" s="13" t="s">
        <v>177</v>
      </c>
      <c r="E4" s="13" t="s">
        <v>178</v>
      </c>
      <c r="F4" s="13" t="s">
        <v>179</v>
      </c>
      <c r="G4" s="13" t="s">
        <v>180</v>
      </c>
      <c r="H4" s="13" t="s">
        <v>181</v>
      </c>
      <c r="I4" s="13" t="s">
        <v>182</v>
      </c>
      <c r="J4" s="13" t="s">
        <v>183</v>
      </c>
      <c r="K4" s="13" t="s">
        <v>184</v>
      </c>
      <c r="L4" s="13" t="s">
        <v>185</v>
      </c>
      <c r="M4" s="13" t="s">
        <v>96</v>
      </c>
    </row>
    <row r="5" customFormat="false" ht="61.5" hidden="false" customHeight="true" outlineLevel="0" collapsed="false">
      <c r="A5" s="27" t="n">
        <v>1</v>
      </c>
      <c r="B5" s="16" t="s">
        <v>186</v>
      </c>
      <c r="C5" s="21" t="s">
        <v>187</v>
      </c>
      <c r="D5" s="21" t="s">
        <v>188</v>
      </c>
      <c r="E5" s="21" t="s">
        <v>189</v>
      </c>
      <c r="F5" s="21" t="s">
        <v>190</v>
      </c>
      <c r="G5" s="21" t="s">
        <v>191</v>
      </c>
      <c r="H5" s="27" t="n">
        <v>10</v>
      </c>
      <c r="I5" s="27" t="n">
        <v>9</v>
      </c>
      <c r="J5" s="27" t="n">
        <v>7</v>
      </c>
      <c r="K5" s="28" t="n">
        <f aca="false">ROUND(H5*I5*J5/10,0)</f>
        <v>63</v>
      </c>
      <c r="L5" s="21" t="s">
        <v>192</v>
      </c>
      <c r="M5" s="21" t="s">
        <v>193</v>
      </c>
    </row>
    <row r="6" customFormat="false" ht="61.5" hidden="false" customHeight="true" outlineLevel="0" collapsed="false">
      <c r="A6" s="27" t="n">
        <v>2</v>
      </c>
      <c r="B6" s="16" t="s">
        <v>186</v>
      </c>
      <c r="C6" s="21" t="s">
        <v>194</v>
      </c>
      <c r="D6" s="21" t="s">
        <v>195</v>
      </c>
      <c r="E6" s="21" t="s">
        <v>189</v>
      </c>
      <c r="F6" s="21" t="s">
        <v>196</v>
      </c>
      <c r="G6" s="21" t="s">
        <v>197</v>
      </c>
      <c r="H6" s="27" t="n">
        <v>9</v>
      </c>
      <c r="I6" s="27" t="n">
        <v>8</v>
      </c>
      <c r="J6" s="27" t="n">
        <v>7</v>
      </c>
      <c r="K6" s="28" t="n">
        <f aca="false">ROUND(H6*I6*J6/10,0)</f>
        <v>50</v>
      </c>
      <c r="L6" s="21" t="s">
        <v>192</v>
      </c>
      <c r="M6" s="21" t="s">
        <v>193</v>
      </c>
    </row>
    <row r="7" customFormat="false" ht="61.5" hidden="false" customHeight="true" outlineLevel="0" collapsed="false">
      <c r="A7" s="27" t="n">
        <v>3</v>
      </c>
      <c r="B7" s="16" t="s">
        <v>186</v>
      </c>
      <c r="C7" s="21" t="s">
        <v>198</v>
      </c>
      <c r="D7" s="21" t="s">
        <v>199</v>
      </c>
      <c r="E7" s="21" t="s">
        <v>200</v>
      </c>
      <c r="F7" s="21" t="s">
        <v>201</v>
      </c>
      <c r="G7" s="21" t="s">
        <v>202</v>
      </c>
      <c r="H7" s="27" t="n">
        <v>9</v>
      </c>
      <c r="I7" s="27" t="n">
        <v>9</v>
      </c>
      <c r="J7" s="27" t="n">
        <v>7</v>
      </c>
      <c r="K7" s="28" t="n">
        <f aca="false">ROUND(H7*I7*J7/10,0)</f>
        <v>57</v>
      </c>
      <c r="L7" s="21" t="s">
        <v>192</v>
      </c>
      <c r="M7" s="21" t="s">
        <v>193</v>
      </c>
    </row>
    <row r="8" customFormat="false" ht="61.5" hidden="false" customHeight="true" outlineLevel="0" collapsed="false">
      <c r="A8" s="27" t="n">
        <v>4</v>
      </c>
      <c r="B8" s="16" t="s">
        <v>186</v>
      </c>
      <c r="C8" s="21" t="s">
        <v>203</v>
      </c>
      <c r="D8" s="21" t="s">
        <v>204</v>
      </c>
      <c r="E8" s="21" t="s">
        <v>205</v>
      </c>
      <c r="F8" s="21" t="s">
        <v>206</v>
      </c>
      <c r="G8" s="21" t="s">
        <v>207</v>
      </c>
      <c r="H8" s="27" t="n">
        <v>9</v>
      </c>
      <c r="I8" s="27" t="n">
        <v>9</v>
      </c>
      <c r="J8" s="27" t="n">
        <v>6</v>
      </c>
      <c r="K8" s="28" t="n">
        <f aca="false">ROUND(H8*I8*J8/10,0)</f>
        <v>49</v>
      </c>
      <c r="L8" s="21" t="s">
        <v>208</v>
      </c>
      <c r="M8" s="21" t="s">
        <v>193</v>
      </c>
    </row>
    <row r="9" customFormat="false" ht="61.5" hidden="false" customHeight="true" outlineLevel="0" collapsed="false">
      <c r="A9" s="27" t="n">
        <v>5</v>
      </c>
      <c r="B9" s="16" t="s">
        <v>186</v>
      </c>
      <c r="C9" s="21" t="s">
        <v>209</v>
      </c>
      <c r="D9" s="21" t="s">
        <v>210</v>
      </c>
      <c r="E9" s="21" t="s">
        <v>211</v>
      </c>
      <c r="F9" s="21" t="s">
        <v>212</v>
      </c>
      <c r="G9" s="21" t="s">
        <v>213</v>
      </c>
      <c r="H9" s="27" t="n">
        <v>10</v>
      </c>
      <c r="I9" s="27" t="n">
        <v>8</v>
      </c>
      <c r="J9" s="27" t="n">
        <v>7</v>
      </c>
      <c r="K9" s="28" t="n">
        <f aca="false">ROUND(H9*I9*J9/10,0)</f>
        <v>56</v>
      </c>
      <c r="L9" s="21" t="s">
        <v>192</v>
      </c>
      <c r="M9" s="21" t="s">
        <v>193</v>
      </c>
    </row>
    <row r="10" customFormat="false" ht="61.5" hidden="false" customHeight="true" outlineLevel="0" collapsed="false">
      <c r="A10" s="27" t="n">
        <v>6</v>
      </c>
      <c r="B10" s="16" t="s">
        <v>186</v>
      </c>
      <c r="C10" s="21" t="s">
        <v>214</v>
      </c>
      <c r="D10" s="21" t="s">
        <v>215</v>
      </c>
      <c r="E10" s="21" t="s">
        <v>216</v>
      </c>
      <c r="F10" s="21" t="s">
        <v>217</v>
      </c>
      <c r="G10" s="21" t="s">
        <v>218</v>
      </c>
      <c r="H10" s="27" t="n">
        <v>8</v>
      </c>
      <c r="I10" s="27" t="n">
        <v>8</v>
      </c>
      <c r="J10" s="27" t="n">
        <v>8</v>
      </c>
      <c r="K10" s="28" t="n">
        <f aca="false">ROUND(H10*I10*J10/10,0)</f>
        <v>51</v>
      </c>
      <c r="L10" s="21" t="s">
        <v>219</v>
      </c>
      <c r="M10" s="21" t="s">
        <v>193</v>
      </c>
    </row>
    <row r="11" customFormat="false" ht="61.5" hidden="false" customHeight="true" outlineLevel="0" collapsed="false">
      <c r="A11" s="27" t="n">
        <v>7</v>
      </c>
      <c r="B11" s="17" t="s">
        <v>220</v>
      </c>
      <c r="C11" s="21" t="s">
        <v>221</v>
      </c>
      <c r="D11" s="21" t="s">
        <v>222</v>
      </c>
      <c r="E11" s="21" t="s">
        <v>223</v>
      </c>
      <c r="F11" s="21" t="s">
        <v>224</v>
      </c>
      <c r="G11" s="21" t="s">
        <v>225</v>
      </c>
      <c r="H11" s="27" t="n">
        <v>8</v>
      </c>
      <c r="I11" s="27" t="n">
        <v>8</v>
      </c>
      <c r="J11" s="27" t="n">
        <v>6</v>
      </c>
      <c r="K11" s="28" t="n">
        <f aca="false">ROUND(H11*I11*J11/10,0)</f>
        <v>38</v>
      </c>
      <c r="L11" s="21" t="s">
        <v>226</v>
      </c>
      <c r="M11" s="21" t="s">
        <v>193</v>
      </c>
    </row>
    <row r="12" customFormat="false" ht="61.5" hidden="false" customHeight="true" outlineLevel="0" collapsed="false">
      <c r="A12" s="27" t="n">
        <v>8</v>
      </c>
      <c r="B12" s="17" t="s">
        <v>220</v>
      </c>
      <c r="C12" s="21" t="s">
        <v>227</v>
      </c>
      <c r="D12" s="21" t="s">
        <v>228</v>
      </c>
      <c r="E12" s="21" t="s">
        <v>229</v>
      </c>
      <c r="F12" s="21" t="s">
        <v>230</v>
      </c>
      <c r="G12" s="21" t="s">
        <v>231</v>
      </c>
      <c r="H12" s="27" t="n">
        <v>9</v>
      </c>
      <c r="I12" s="27" t="n">
        <v>7</v>
      </c>
      <c r="J12" s="27" t="n">
        <v>5</v>
      </c>
      <c r="K12" s="28" t="n">
        <f aca="false">ROUND(H12*I12*J12/10,0)</f>
        <v>32</v>
      </c>
      <c r="L12" s="21" t="s">
        <v>232</v>
      </c>
      <c r="M12" s="21" t="s">
        <v>193</v>
      </c>
    </row>
    <row r="13" customFormat="false" ht="61.5" hidden="false" customHeight="true" outlineLevel="0" collapsed="false">
      <c r="A13" s="27" t="n">
        <v>9</v>
      </c>
      <c r="B13" s="17" t="s">
        <v>220</v>
      </c>
      <c r="C13" s="21" t="s">
        <v>233</v>
      </c>
      <c r="D13" s="21" t="s">
        <v>234</v>
      </c>
      <c r="E13" s="21" t="s">
        <v>235</v>
      </c>
      <c r="F13" s="21" t="s">
        <v>236</v>
      </c>
      <c r="G13" s="21" t="s">
        <v>237</v>
      </c>
      <c r="H13" s="27" t="n">
        <v>8</v>
      </c>
      <c r="I13" s="27" t="n">
        <v>8</v>
      </c>
      <c r="J13" s="27" t="n">
        <v>6</v>
      </c>
      <c r="K13" s="28" t="n">
        <f aca="false">ROUND(H13*I13*J13/10,0)</f>
        <v>38</v>
      </c>
      <c r="L13" s="21" t="s">
        <v>238</v>
      </c>
      <c r="M13" s="21" t="s">
        <v>193</v>
      </c>
    </row>
    <row r="14" customFormat="false" ht="61.5" hidden="false" customHeight="true" outlineLevel="0" collapsed="false">
      <c r="A14" s="27" t="n">
        <v>10</v>
      </c>
      <c r="B14" s="17" t="s">
        <v>220</v>
      </c>
      <c r="C14" s="21" t="s">
        <v>239</v>
      </c>
      <c r="D14" s="21" t="s">
        <v>240</v>
      </c>
      <c r="E14" s="21" t="s">
        <v>241</v>
      </c>
      <c r="F14" s="21" t="s">
        <v>242</v>
      </c>
      <c r="G14" s="21" t="s">
        <v>218</v>
      </c>
      <c r="H14" s="27" t="n">
        <v>7</v>
      </c>
      <c r="I14" s="27" t="n">
        <v>7</v>
      </c>
      <c r="J14" s="27" t="n">
        <v>6</v>
      </c>
      <c r="K14" s="28" t="n">
        <f aca="false">ROUND(H14*I14*J14/10,0)</f>
        <v>29</v>
      </c>
      <c r="L14" s="21" t="s">
        <v>243</v>
      </c>
      <c r="M14" s="21" t="s">
        <v>193</v>
      </c>
    </row>
    <row r="15" customFormat="false" ht="61.5" hidden="false" customHeight="true" outlineLevel="0" collapsed="false">
      <c r="A15" s="27" t="n">
        <v>11</v>
      </c>
      <c r="B15" s="17" t="s">
        <v>220</v>
      </c>
      <c r="C15" s="21" t="s">
        <v>244</v>
      </c>
      <c r="D15" s="21" t="s">
        <v>245</v>
      </c>
      <c r="E15" s="21" t="s">
        <v>246</v>
      </c>
      <c r="F15" s="21" t="s">
        <v>247</v>
      </c>
      <c r="G15" s="21" t="s">
        <v>248</v>
      </c>
      <c r="H15" s="27" t="n">
        <v>6</v>
      </c>
      <c r="I15" s="27" t="n">
        <v>8</v>
      </c>
      <c r="J15" s="27" t="n">
        <v>7</v>
      </c>
      <c r="K15" s="28" t="n">
        <f aca="false">ROUND(H15*I15*J15/10,0)</f>
        <v>34</v>
      </c>
      <c r="L15" s="21" t="s">
        <v>226</v>
      </c>
      <c r="M15" s="21" t="s">
        <v>193</v>
      </c>
    </row>
    <row r="16" customFormat="false" ht="61.5" hidden="false" customHeight="true" outlineLevel="0" collapsed="false">
      <c r="A16" s="27" t="n">
        <v>12</v>
      </c>
      <c r="B16" s="17" t="s">
        <v>220</v>
      </c>
      <c r="C16" s="21" t="s">
        <v>249</v>
      </c>
      <c r="D16" s="21" t="s">
        <v>250</v>
      </c>
      <c r="E16" s="21" t="s">
        <v>251</v>
      </c>
      <c r="F16" s="21" t="s">
        <v>252</v>
      </c>
      <c r="G16" s="21" t="s">
        <v>253</v>
      </c>
      <c r="H16" s="27" t="n">
        <v>7</v>
      </c>
      <c r="I16" s="27" t="n">
        <v>8</v>
      </c>
      <c r="J16" s="27" t="n">
        <v>6</v>
      </c>
      <c r="K16" s="28" t="n">
        <f aca="false">ROUND(H16*I16*J16/10,0)</f>
        <v>34</v>
      </c>
      <c r="L16" s="21" t="s">
        <v>238</v>
      </c>
      <c r="M16" s="21" t="s">
        <v>193</v>
      </c>
    </row>
    <row r="17" customFormat="false" ht="61.5" hidden="false" customHeight="true" outlineLevel="0" collapsed="false">
      <c r="A17" s="27" t="n">
        <v>13</v>
      </c>
      <c r="B17" s="29" t="s">
        <v>254</v>
      </c>
      <c r="C17" s="21" t="s">
        <v>255</v>
      </c>
      <c r="D17" s="21" t="s">
        <v>256</v>
      </c>
      <c r="E17" s="21" t="s">
        <v>257</v>
      </c>
      <c r="F17" s="21" t="s">
        <v>258</v>
      </c>
      <c r="G17" s="21" t="s">
        <v>259</v>
      </c>
      <c r="H17" s="27" t="n">
        <v>6</v>
      </c>
      <c r="I17" s="27" t="n">
        <v>6</v>
      </c>
      <c r="J17" s="27" t="n">
        <v>7</v>
      </c>
      <c r="K17" s="28" t="n">
        <f aca="false">ROUND(H17*I17*J17/10,0)</f>
        <v>25</v>
      </c>
      <c r="L17" s="21" t="s">
        <v>243</v>
      </c>
      <c r="M17" s="21" t="s">
        <v>193</v>
      </c>
    </row>
    <row r="18" customFormat="false" ht="61.5" hidden="false" customHeight="true" outlineLevel="0" collapsed="false">
      <c r="A18" s="27" t="n">
        <v>14</v>
      </c>
      <c r="B18" s="29" t="s">
        <v>254</v>
      </c>
      <c r="C18" s="21" t="s">
        <v>260</v>
      </c>
      <c r="D18" s="21" t="s">
        <v>261</v>
      </c>
      <c r="E18" s="21" t="s">
        <v>262</v>
      </c>
      <c r="F18" s="21" t="s">
        <v>263</v>
      </c>
      <c r="G18" s="21" t="s">
        <v>218</v>
      </c>
      <c r="H18" s="27" t="n">
        <v>7</v>
      </c>
      <c r="I18" s="27" t="n">
        <v>7</v>
      </c>
      <c r="J18" s="27" t="n">
        <v>6</v>
      </c>
      <c r="K18" s="28" t="n">
        <f aca="false">ROUND(H18*I18*J18/10,0)</f>
        <v>29</v>
      </c>
      <c r="L18" s="21" t="s">
        <v>232</v>
      </c>
      <c r="M18" s="21" t="s">
        <v>193</v>
      </c>
    </row>
    <row r="19" customFormat="false" ht="61.5" hidden="false" customHeight="true" outlineLevel="0" collapsed="false">
      <c r="A19" s="27" t="n">
        <v>15</v>
      </c>
      <c r="B19" s="29" t="s">
        <v>254</v>
      </c>
      <c r="C19" s="21" t="s">
        <v>264</v>
      </c>
      <c r="D19" s="21" t="s">
        <v>265</v>
      </c>
      <c r="E19" s="21" t="s">
        <v>257</v>
      </c>
      <c r="F19" s="21" t="s">
        <v>266</v>
      </c>
      <c r="G19" s="21" t="s">
        <v>267</v>
      </c>
      <c r="H19" s="27" t="n">
        <v>7</v>
      </c>
      <c r="I19" s="27" t="n">
        <v>6</v>
      </c>
      <c r="J19" s="27" t="n">
        <v>6</v>
      </c>
      <c r="K19" s="28" t="n">
        <f aca="false">ROUND(H19*I19*J19/10,0)</f>
        <v>25</v>
      </c>
      <c r="L19" s="21" t="s">
        <v>268</v>
      </c>
      <c r="M19" s="21" t="s">
        <v>193</v>
      </c>
    </row>
    <row r="20" customFormat="false" ht="61.5" hidden="false" customHeight="true" outlineLevel="0" collapsed="false">
      <c r="A20" s="27" t="n">
        <v>16</v>
      </c>
      <c r="B20" s="29" t="s">
        <v>254</v>
      </c>
      <c r="C20" s="21" t="s">
        <v>269</v>
      </c>
      <c r="D20" s="21" t="s">
        <v>270</v>
      </c>
      <c r="E20" s="21" t="s">
        <v>262</v>
      </c>
      <c r="F20" s="21" t="s">
        <v>271</v>
      </c>
      <c r="G20" s="21" t="s">
        <v>272</v>
      </c>
      <c r="H20" s="27" t="n">
        <v>6</v>
      </c>
      <c r="I20" s="27" t="n">
        <v>6</v>
      </c>
      <c r="J20" s="27" t="n">
        <v>5</v>
      </c>
      <c r="K20" s="28" t="n">
        <f aca="false">ROUND(H20*I20*J20/10,0)</f>
        <v>18</v>
      </c>
      <c r="L20" s="21" t="s">
        <v>219</v>
      </c>
      <c r="M20" s="21" t="s">
        <v>193</v>
      </c>
    </row>
    <row r="21" customFormat="false" ht="61.5" hidden="false" customHeight="true" outlineLevel="0" collapsed="false">
      <c r="A21" s="27" t="n">
        <v>17</v>
      </c>
      <c r="B21" s="29" t="s">
        <v>254</v>
      </c>
      <c r="C21" s="21" t="s">
        <v>273</v>
      </c>
      <c r="D21" s="21" t="s">
        <v>274</v>
      </c>
      <c r="E21" s="21" t="s">
        <v>273</v>
      </c>
      <c r="F21" s="21" t="s">
        <v>275</v>
      </c>
      <c r="G21" s="21" t="s">
        <v>276</v>
      </c>
      <c r="H21" s="27" t="n">
        <v>6</v>
      </c>
      <c r="I21" s="27" t="n">
        <v>7</v>
      </c>
      <c r="J21" s="27" t="n">
        <v>6</v>
      </c>
      <c r="K21" s="28" t="n">
        <f aca="false">ROUND(H21*I21*J21/10,0)</f>
        <v>25</v>
      </c>
      <c r="L21" s="21" t="s">
        <v>243</v>
      </c>
      <c r="M21" s="21" t="s">
        <v>193</v>
      </c>
    </row>
    <row r="22" customFormat="false" ht="61.5" hidden="false" customHeight="true" outlineLevel="0" collapsed="false">
      <c r="A22" s="27" t="n">
        <v>18</v>
      </c>
      <c r="B22" s="29" t="s">
        <v>254</v>
      </c>
      <c r="C22" s="21" t="s">
        <v>277</v>
      </c>
      <c r="D22" s="21" t="s">
        <v>278</v>
      </c>
      <c r="E22" s="21" t="s">
        <v>279</v>
      </c>
      <c r="F22" s="21" t="s">
        <v>280</v>
      </c>
      <c r="G22" s="21" t="s">
        <v>218</v>
      </c>
      <c r="H22" s="27" t="n">
        <v>6</v>
      </c>
      <c r="I22" s="27" t="n">
        <v>7</v>
      </c>
      <c r="J22" s="27" t="n">
        <v>6</v>
      </c>
      <c r="K22" s="28" t="n">
        <f aca="false">ROUND(H22*I22*J22/10,0)</f>
        <v>25</v>
      </c>
      <c r="L22" s="21" t="s">
        <v>232</v>
      </c>
      <c r="M22" s="21" t="s">
        <v>193</v>
      </c>
    </row>
    <row r="23" customFormat="false" ht="61.5" hidden="false" customHeight="true" outlineLevel="0" collapsed="false">
      <c r="A23" s="27" t="n">
        <v>19</v>
      </c>
      <c r="B23" s="29" t="s">
        <v>254</v>
      </c>
      <c r="C23" s="21" t="s">
        <v>281</v>
      </c>
      <c r="D23" s="21" t="s">
        <v>282</v>
      </c>
      <c r="E23" s="21" t="s">
        <v>262</v>
      </c>
      <c r="F23" s="21" t="s">
        <v>283</v>
      </c>
      <c r="G23" s="21" t="s">
        <v>284</v>
      </c>
      <c r="H23" s="27" t="n">
        <v>6</v>
      </c>
      <c r="I23" s="27" t="n">
        <v>7</v>
      </c>
      <c r="J23" s="27" t="n">
        <v>6</v>
      </c>
      <c r="K23" s="28" t="n">
        <f aca="false">ROUND(H23*I23*J23/10,0)</f>
        <v>25</v>
      </c>
      <c r="L23" s="21" t="s">
        <v>285</v>
      </c>
      <c r="M23" s="21" t="s">
        <v>193</v>
      </c>
    </row>
    <row r="24" customFormat="false" ht="61.5" hidden="false" customHeight="true" outlineLevel="0" collapsed="false">
      <c r="A24" s="27" t="n">
        <v>20</v>
      </c>
      <c r="B24" s="29" t="s">
        <v>254</v>
      </c>
      <c r="C24" s="21" t="s">
        <v>286</v>
      </c>
      <c r="D24" s="21" t="s">
        <v>287</v>
      </c>
      <c r="E24" s="21" t="s">
        <v>257</v>
      </c>
      <c r="F24" s="21" t="s">
        <v>288</v>
      </c>
      <c r="G24" s="21" t="s">
        <v>289</v>
      </c>
      <c r="H24" s="27" t="n">
        <v>6</v>
      </c>
      <c r="I24" s="27" t="n">
        <v>6</v>
      </c>
      <c r="J24" s="27" t="n">
        <v>6</v>
      </c>
      <c r="K24" s="28" t="n">
        <f aca="false">ROUND(H24*I24*J24/10,0)</f>
        <v>22</v>
      </c>
      <c r="L24" s="21" t="s">
        <v>243</v>
      </c>
      <c r="M24" s="21" t="s">
        <v>193</v>
      </c>
    </row>
  </sheetData>
  <autoFilter ref="A4:M24"/>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3" min="3" style="0" width="16"/>
    <col collapsed="false" customWidth="true" hidden="false" outlineLevel="0" max="4" min="4" style="0" width="52"/>
  </cols>
  <sheetData>
    <row r="1" customFormat="false" ht="30" hidden="false" customHeight="true" outlineLevel="0" collapsed="false">
      <c r="A1" s="9" t="s">
        <v>290</v>
      </c>
      <c r="B1" s="9"/>
      <c r="C1" s="9"/>
      <c r="D1" s="9"/>
    </row>
    <row r="2" customFormat="false" ht="15.75" hidden="false" customHeight="true" outlineLevel="0" collapsed="false">
      <c r="A2" s="10" t="s">
        <v>291</v>
      </c>
      <c r="B2" s="10"/>
      <c r="C2" s="10"/>
      <c r="D2" s="10"/>
    </row>
    <row r="3" customFormat="false" ht="15" hidden="false" customHeight="false" outlineLevel="0" collapsed="false">
      <c r="A3" s="30" t="s">
        <v>292</v>
      </c>
      <c r="B3" s="30"/>
      <c r="C3" s="30"/>
      <c r="D3" s="30"/>
    </row>
    <row r="4" customFormat="false" ht="15" hidden="false" customHeight="false" outlineLevel="0" collapsed="false">
      <c r="A4" s="13" t="s">
        <v>176</v>
      </c>
      <c r="B4" s="13" t="s">
        <v>293</v>
      </c>
      <c r="C4" s="13" t="s">
        <v>294</v>
      </c>
      <c r="D4" s="13" t="s">
        <v>295</v>
      </c>
    </row>
    <row r="5" customFormat="false" ht="54" hidden="false" customHeight="true" outlineLevel="0" collapsed="false">
      <c r="A5" s="19" t="s">
        <v>296</v>
      </c>
      <c r="B5" s="15" t="s">
        <v>297</v>
      </c>
      <c r="C5" s="18" t="s">
        <v>298</v>
      </c>
      <c r="D5" s="15" t="s">
        <v>299</v>
      </c>
    </row>
    <row r="6" customFormat="false" ht="54" hidden="false" customHeight="true" outlineLevel="0" collapsed="false">
      <c r="A6" s="19" t="s">
        <v>300</v>
      </c>
      <c r="B6" s="15" t="s">
        <v>301</v>
      </c>
      <c r="C6" s="18" t="s">
        <v>298</v>
      </c>
      <c r="D6" s="15" t="s">
        <v>302</v>
      </c>
    </row>
    <row r="7" customFormat="false" ht="54" hidden="false" customHeight="true" outlineLevel="0" collapsed="false">
      <c r="A7" s="19" t="s">
        <v>303</v>
      </c>
      <c r="B7" s="15" t="s">
        <v>304</v>
      </c>
      <c r="C7" s="18" t="s">
        <v>298</v>
      </c>
      <c r="D7" s="15" t="s">
        <v>305</v>
      </c>
    </row>
    <row r="8" customFormat="false" ht="54" hidden="false" customHeight="true" outlineLevel="0" collapsed="false">
      <c r="A8" s="19" t="s">
        <v>306</v>
      </c>
      <c r="B8" s="15" t="s">
        <v>307</v>
      </c>
      <c r="C8" s="18" t="s">
        <v>298</v>
      </c>
      <c r="D8" s="15" t="s">
        <v>308</v>
      </c>
    </row>
    <row r="9" customFormat="false" ht="54" hidden="false" customHeight="true" outlineLevel="0" collapsed="false">
      <c r="A9" s="19" t="s">
        <v>309</v>
      </c>
      <c r="B9" s="15" t="s">
        <v>310</v>
      </c>
      <c r="C9" s="18" t="s">
        <v>298</v>
      </c>
      <c r="D9" s="15" t="s">
        <v>311</v>
      </c>
    </row>
    <row r="10" customFormat="false" ht="54" hidden="false" customHeight="true" outlineLevel="0" collapsed="false">
      <c r="A10" s="19" t="s">
        <v>312</v>
      </c>
      <c r="B10" s="15" t="s">
        <v>313</v>
      </c>
      <c r="C10" s="17" t="s">
        <v>314</v>
      </c>
      <c r="D10" s="15" t="s">
        <v>315</v>
      </c>
    </row>
    <row r="11" customFormat="false" ht="54" hidden="false" customHeight="true" outlineLevel="0" collapsed="false">
      <c r="A11" s="19" t="s">
        <v>316</v>
      </c>
      <c r="B11" s="15" t="s">
        <v>317</v>
      </c>
      <c r="C11" s="17" t="s">
        <v>314</v>
      </c>
      <c r="D11" s="15" t="s">
        <v>318</v>
      </c>
    </row>
    <row r="12" customFormat="false" ht="54" hidden="false" customHeight="true" outlineLevel="0" collapsed="false">
      <c r="A12" s="19" t="s">
        <v>319</v>
      </c>
      <c r="B12" s="15" t="s">
        <v>320</v>
      </c>
      <c r="C12" s="17" t="s">
        <v>314</v>
      </c>
      <c r="D12" s="15" t="s">
        <v>321</v>
      </c>
    </row>
    <row r="13" customFormat="false" ht="54" hidden="false" customHeight="true" outlineLevel="0" collapsed="false">
      <c r="A13" s="19" t="s">
        <v>322</v>
      </c>
      <c r="B13" s="15" t="s">
        <v>323</v>
      </c>
      <c r="C13" s="16" t="s">
        <v>324</v>
      </c>
      <c r="D13" s="15" t="s">
        <v>325</v>
      </c>
    </row>
    <row r="15" customFormat="false" ht="15" hidden="false" customHeight="false" outlineLevel="0" collapsed="false">
      <c r="A15" s="31" t="s">
        <v>326</v>
      </c>
    </row>
    <row r="16" customFormat="false" ht="25.5" hidden="false" customHeight="true" outlineLevel="0" collapsed="false">
      <c r="A16" s="32" t="s">
        <v>327</v>
      </c>
      <c r="B16" s="32"/>
      <c r="C16" s="32"/>
      <c r="D16" s="32"/>
    </row>
    <row r="17" customFormat="false" ht="25.5" hidden="false" customHeight="true" outlineLevel="0" collapsed="false">
      <c r="A17" s="32" t="s">
        <v>328</v>
      </c>
      <c r="B17" s="32"/>
      <c r="C17" s="32"/>
      <c r="D17" s="32"/>
    </row>
    <row r="18" customFormat="false" ht="25.5" hidden="false" customHeight="true" outlineLevel="0" collapsed="false">
      <c r="A18" s="32" t="s">
        <v>329</v>
      </c>
      <c r="B18" s="32"/>
      <c r="C18" s="32"/>
      <c r="D18" s="32"/>
    </row>
    <row r="19" customFormat="false" ht="25.5" hidden="false" customHeight="true" outlineLevel="0" collapsed="false">
      <c r="A19" s="32" t="s">
        <v>330</v>
      </c>
      <c r="B19" s="32"/>
      <c r="C19" s="32"/>
      <c r="D19" s="32"/>
    </row>
    <row r="20" customFormat="false" ht="25.5" hidden="false" customHeight="true" outlineLevel="0" collapsed="false">
      <c r="A20" s="32" t="s">
        <v>331</v>
      </c>
      <c r="B20" s="32"/>
      <c r="C20" s="32"/>
      <c r="D20" s="32"/>
    </row>
    <row r="21" customFormat="false" ht="25.5" hidden="false" customHeight="true" outlineLevel="0" collapsed="false">
      <c r="A21" s="32" t="s">
        <v>332</v>
      </c>
      <c r="B21" s="32"/>
      <c r="C21" s="32"/>
      <c r="D21" s="32"/>
    </row>
    <row r="22" customFormat="false" ht="25.5" hidden="false" customHeight="true" outlineLevel="0" collapsed="false">
      <c r="A22" s="32" t="s">
        <v>333</v>
      </c>
      <c r="B22" s="32"/>
      <c r="C22" s="32"/>
      <c r="D22" s="32"/>
    </row>
    <row r="23" customFormat="false" ht="25.5" hidden="false" customHeight="true" outlineLevel="0" collapsed="false">
      <c r="A23" s="32" t="s">
        <v>334</v>
      </c>
      <c r="B23" s="32"/>
      <c r="C23" s="32"/>
      <c r="D23" s="32"/>
    </row>
  </sheetData>
  <mergeCells count="11">
    <mergeCell ref="A1:D1"/>
    <mergeCell ref="A2:D2"/>
    <mergeCell ref="A3:D3"/>
    <mergeCell ref="A16:D16"/>
    <mergeCell ref="A17:D17"/>
    <mergeCell ref="A18:D18"/>
    <mergeCell ref="A19:D19"/>
    <mergeCell ref="A20:D20"/>
    <mergeCell ref="A21:D21"/>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55"/>
  </cols>
  <sheetData>
    <row r="1" customFormat="false" ht="30" hidden="false" customHeight="true" outlineLevel="0" collapsed="false">
      <c r="A1" s="9" t="s">
        <v>335</v>
      </c>
      <c r="B1" s="9"/>
      <c r="C1" s="9"/>
    </row>
    <row r="2" customFormat="false" ht="15.75" hidden="false" customHeight="true" outlineLevel="0" collapsed="false">
      <c r="A2" s="10" t="s">
        <v>336</v>
      </c>
      <c r="B2" s="10"/>
      <c r="C2" s="10"/>
    </row>
    <row r="4" customFormat="false" ht="15" hidden="false" customHeight="false" outlineLevel="0" collapsed="false">
      <c r="A4" s="13" t="s">
        <v>337</v>
      </c>
      <c r="B4" s="13" t="s">
        <v>338</v>
      </c>
      <c r="C4" s="13" t="s">
        <v>339</v>
      </c>
    </row>
    <row r="5" customFormat="false" ht="48" hidden="false" customHeight="true" outlineLevel="0" collapsed="false">
      <c r="A5" s="33" t="s">
        <v>340</v>
      </c>
      <c r="B5" s="34" t="s">
        <v>341</v>
      </c>
      <c r="C5" s="35" t="s">
        <v>342</v>
      </c>
    </row>
    <row r="6" customFormat="false" ht="48" hidden="false" customHeight="true" outlineLevel="0" collapsed="false">
      <c r="A6" s="33" t="s">
        <v>343</v>
      </c>
      <c r="B6" s="34" t="s">
        <v>344</v>
      </c>
      <c r="C6" s="35" t="s">
        <v>345</v>
      </c>
    </row>
    <row r="7" customFormat="false" ht="48" hidden="false" customHeight="true" outlineLevel="0" collapsed="false">
      <c r="A7" s="33" t="s">
        <v>346</v>
      </c>
      <c r="B7" s="34" t="s">
        <v>347</v>
      </c>
      <c r="C7" s="35" t="s">
        <v>348</v>
      </c>
    </row>
    <row r="8" customFormat="false" ht="48" hidden="false" customHeight="true" outlineLevel="0" collapsed="false">
      <c r="A8" s="33" t="s">
        <v>349</v>
      </c>
      <c r="B8" s="34" t="s">
        <v>350</v>
      </c>
      <c r="C8" s="35" t="s">
        <v>351</v>
      </c>
    </row>
    <row r="9" customFormat="false" ht="48" hidden="false" customHeight="true" outlineLevel="0" collapsed="false">
      <c r="A9" s="33" t="s">
        <v>352</v>
      </c>
      <c r="B9" s="34" t="s">
        <v>353</v>
      </c>
      <c r="C9" s="35" t="s">
        <v>354</v>
      </c>
    </row>
    <row r="10" customFormat="false" ht="48" hidden="false" customHeight="true" outlineLevel="0" collapsed="false">
      <c r="A10" s="33" t="s">
        <v>355</v>
      </c>
      <c r="B10" s="34" t="s">
        <v>356</v>
      </c>
      <c r="C10" s="35" t="s">
        <v>357</v>
      </c>
    </row>
    <row r="11" customFormat="false" ht="48" hidden="false" customHeight="true" outlineLevel="0" collapsed="false">
      <c r="A11" s="33" t="s">
        <v>358</v>
      </c>
      <c r="B11" s="34" t="s">
        <v>359</v>
      </c>
      <c r="C11" s="35" t="s">
        <v>360</v>
      </c>
    </row>
    <row r="12" customFormat="false" ht="48" hidden="false" customHeight="true" outlineLevel="0" collapsed="false">
      <c r="A12" s="33" t="s">
        <v>361</v>
      </c>
      <c r="B12" s="34" t="s">
        <v>362</v>
      </c>
      <c r="C12" s="35" t="s">
        <v>363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12"/>
    <col collapsed="false" customWidth="true" hidden="false" outlineLevel="0" max="4" min="4" style="0" width="60"/>
  </cols>
  <sheetData>
    <row r="1" customFormat="false" ht="30" hidden="false" customHeight="true" outlineLevel="0" collapsed="false">
      <c r="A1" s="9" t="s">
        <v>364</v>
      </c>
      <c r="B1" s="9"/>
      <c r="C1" s="9"/>
      <c r="D1" s="9"/>
    </row>
    <row r="2" customFormat="false" ht="15.75" hidden="false" customHeight="true" outlineLevel="0" collapsed="false">
      <c r="A2" s="10" t="s">
        <v>365</v>
      </c>
      <c r="B2" s="10"/>
      <c r="C2" s="10"/>
      <c r="D2" s="10"/>
    </row>
    <row r="4" customFormat="false" ht="15" hidden="false" customHeight="false" outlineLevel="0" collapsed="false">
      <c r="A4" s="13" t="s">
        <v>366</v>
      </c>
      <c r="B4" s="13" t="s">
        <v>367</v>
      </c>
      <c r="C4" s="13" t="s">
        <v>368</v>
      </c>
      <c r="D4" s="13" t="s">
        <v>369</v>
      </c>
    </row>
    <row r="5" customFormat="false" ht="42" hidden="false" customHeight="true" outlineLevel="0" collapsed="false">
      <c r="A5" s="19" t="s">
        <v>370</v>
      </c>
      <c r="B5" s="36" t="s">
        <v>371</v>
      </c>
      <c r="C5" s="37" t="s">
        <v>372</v>
      </c>
      <c r="D5" s="15" t="s">
        <v>373</v>
      </c>
    </row>
    <row r="6" customFormat="false" ht="42" hidden="false" customHeight="true" outlineLevel="0" collapsed="false">
      <c r="A6" s="19" t="s">
        <v>374</v>
      </c>
      <c r="B6" s="36" t="s">
        <v>371</v>
      </c>
      <c r="C6" s="37" t="s">
        <v>372</v>
      </c>
      <c r="D6" s="15" t="s">
        <v>375</v>
      </c>
    </row>
    <row r="7" customFormat="false" ht="42" hidden="false" customHeight="true" outlineLevel="0" collapsed="false">
      <c r="A7" s="19" t="s">
        <v>376</v>
      </c>
      <c r="B7" s="36" t="s">
        <v>371</v>
      </c>
      <c r="C7" s="37" t="s">
        <v>372</v>
      </c>
      <c r="D7" s="15" t="s">
        <v>377</v>
      </c>
    </row>
    <row r="8" customFormat="false" ht="42" hidden="false" customHeight="true" outlineLevel="0" collapsed="false">
      <c r="A8" s="19" t="s">
        <v>378</v>
      </c>
      <c r="B8" s="36" t="s">
        <v>379</v>
      </c>
      <c r="C8" s="38" t="s">
        <v>380</v>
      </c>
      <c r="D8" s="15" t="s">
        <v>381</v>
      </c>
    </row>
    <row r="9" customFormat="false" ht="42" hidden="false" customHeight="true" outlineLevel="0" collapsed="false">
      <c r="A9" s="19" t="s">
        <v>382</v>
      </c>
      <c r="B9" s="36" t="s">
        <v>379</v>
      </c>
      <c r="C9" s="38" t="s">
        <v>380</v>
      </c>
      <c r="D9" s="15" t="s">
        <v>383</v>
      </c>
    </row>
    <row r="10" customFormat="false" ht="42" hidden="false" customHeight="true" outlineLevel="0" collapsed="false">
      <c r="A10" s="19" t="s">
        <v>384</v>
      </c>
      <c r="B10" s="36" t="s">
        <v>379</v>
      </c>
      <c r="C10" s="38" t="s">
        <v>380</v>
      </c>
      <c r="D10" s="15" t="s">
        <v>385</v>
      </c>
    </row>
    <row r="11" customFormat="false" ht="42" hidden="false" customHeight="true" outlineLevel="0" collapsed="false">
      <c r="A11" s="19" t="s">
        <v>386</v>
      </c>
      <c r="B11" s="36" t="s">
        <v>379</v>
      </c>
      <c r="C11" s="38" t="s">
        <v>380</v>
      </c>
      <c r="D11" s="15" t="s">
        <v>387</v>
      </c>
    </row>
    <row r="12" customFormat="false" ht="42" hidden="false" customHeight="true" outlineLevel="0" collapsed="false">
      <c r="A12" s="19" t="s">
        <v>388</v>
      </c>
      <c r="B12" s="36" t="s">
        <v>389</v>
      </c>
      <c r="C12" s="39" t="s">
        <v>390</v>
      </c>
      <c r="D12" s="15" t="s">
        <v>391</v>
      </c>
    </row>
    <row r="13" customFormat="false" ht="42" hidden="false" customHeight="true" outlineLevel="0" collapsed="false">
      <c r="A13" s="19" t="s">
        <v>392</v>
      </c>
      <c r="B13" s="36" t="s">
        <v>379</v>
      </c>
      <c r="C13" s="39" t="s">
        <v>390</v>
      </c>
      <c r="D13" s="15" t="s">
        <v>393</v>
      </c>
    </row>
    <row r="15" customFormat="false" ht="60" hidden="false" customHeight="true" outlineLevel="0" collapsed="false">
      <c r="A15" s="31" t="s">
        <v>394</v>
      </c>
      <c r="B15" s="32" t="s">
        <v>395</v>
      </c>
      <c r="C15" s="32"/>
      <c r="D15" s="32"/>
    </row>
  </sheetData>
  <mergeCells count="3">
    <mergeCell ref="A1:D1"/>
    <mergeCell ref="A2:D2"/>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4" min="3" style="0" width="46"/>
  </cols>
  <sheetData>
    <row r="1" customFormat="false" ht="30" hidden="false" customHeight="true" outlineLevel="0" collapsed="false">
      <c r="A1" s="9" t="s">
        <v>396</v>
      </c>
      <c r="B1" s="9"/>
      <c r="C1" s="9"/>
      <c r="D1" s="9"/>
    </row>
    <row r="2" customFormat="false" ht="15.75" hidden="false" customHeight="true" outlineLevel="0" collapsed="false">
      <c r="A2" s="10" t="s">
        <v>397</v>
      </c>
      <c r="B2" s="10"/>
      <c r="C2" s="10"/>
      <c r="D2" s="10"/>
    </row>
    <row r="4" customFormat="false" ht="15" hidden="false" customHeight="false" outlineLevel="0" collapsed="false">
      <c r="A4" s="13" t="s">
        <v>398</v>
      </c>
      <c r="B4" s="13" t="s">
        <v>399</v>
      </c>
      <c r="C4" s="13" t="s">
        <v>400</v>
      </c>
      <c r="D4" s="13" t="s">
        <v>401</v>
      </c>
    </row>
    <row r="5" customFormat="false" ht="45.75" hidden="false" customHeight="true" outlineLevel="0" collapsed="false">
      <c r="A5" s="33" t="s">
        <v>137</v>
      </c>
      <c r="B5" s="40" t="s">
        <v>402</v>
      </c>
      <c r="C5" s="34" t="s">
        <v>403</v>
      </c>
      <c r="D5" s="35" t="s">
        <v>404</v>
      </c>
    </row>
    <row r="6" customFormat="false" ht="45.75" hidden="false" customHeight="true" outlineLevel="0" collapsed="false">
      <c r="A6" s="33" t="s">
        <v>158</v>
      </c>
      <c r="B6" s="40" t="s">
        <v>405</v>
      </c>
      <c r="C6" s="34" t="s">
        <v>406</v>
      </c>
      <c r="D6" s="35" t="s">
        <v>407</v>
      </c>
    </row>
    <row r="7" customFormat="false" ht="45.75" hidden="false" customHeight="true" outlineLevel="0" collapsed="false">
      <c r="A7" s="33" t="s">
        <v>408</v>
      </c>
      <c r="B7" s="40" t="s">
        <v>409</v>
      </c>
      <c r="C7" s="34" t="s">
        <v>410</v>
      </c>
      <c r="D7" s="35" t="s">
        <v>411</v>
      </c>
    </row>
    <row r="8" customFormat="false" ht="45.75" hidden="false" customHeight="true" outlineLevel="0" collapsed="false">
      <c r="A8" s="33" t="s">
        <v>131</v>
      </c>
      <c r="B8" s="40" t="s">
        <v>412</v>
      </c>
      <c r="C8" s="34" t="s">
        <v>413</v>
      </c>
      <c r="D8" s="35" t="s">
        <v>414</v>
      </c>
    </row>
    <row r="9" customFormat="false" ht="45.75" hidden="false" customHeight="true" outlineLevel="0" collapsed="false">
      <c r="A9" s="33" t="s">
        <v>415</v>
      </c>
      <c r="B9" s="40" t="s">
        <v>416</v>
      </c>
      <c r="C9" s="34" t="s">
        <v>417</v>
      </c>
      <c r="D9" s="35" t="s">
        <v>418</v>
      </c>
    </row>
    <row r="10" customFormat="false" ht="45.75" hidden="false" customHeight="true" outlineLevel="0" collapsed="false">
      <c r="A10" s="33" t="s">
        <v>419</v>
      </c>
      <c r="B10" s="40" t="s">
        <v>416</v>
      </c>
      <c r="C10" s="34" t="s">
        <v>420</v>
      </c>
      <c r="D10" s="35" t="s">
        <v>421</v>
      </c>
    </row>
    <row r="11" customFormat="false" ht="45.75" hidden="false" customHeight="true" outlineLevel="0" collapsed="false">
      <c r="A11" s="33" t="s">
        <v>422</v>
      </c>
      <c r="B11" s="40" t="s">
        <v>423</v>
      </c>
      <c r="C11" s="34" t="s">
        <v>424</v>
      </c>
      <c r="D11" s="35" t="s">
        <v>425</v>
      </c>
    </row>
    <row r="12" customFormat="false" ht="45.75" hidden="false" customHeight="true" outlineLevel="0" collapsed="false">
      <c r="A12" s="33" t="s">
        <v>426</v>
      </c>
      <c r="B12" s="40" t="s">
        <v>427</v>
      </c>
      <c r="C12" s="34" t="s">
        <v>428</v>
      </c>
      <c r="D12" s="35" t="s">
        <v>429</v>
      </c>
    </row>
    <row r="13" customFormat="false" ht="45.75" hidden="false" customHeight="true" outlineLevel="0" collapsed="false">
      <c r="A13" s="33" t="s">
        <v>430</v>
      </c>
      <c r="B13" s="40" t="s">
        <v>431</v>
      </c>
      <c r="C13" s="34" t="s">
        <v>432</v>
      </c>
      <c r="D13" s="35" t="s">
        <v>433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0"/>
    <col collapsed="false" customWidth="true" hidden="false" outlineLevel="0" max="4" min="4" style="0" width="44"/>
  </cols>
  <sheetData>
    <row r="1" customFormat="false" ht="30" hidden="false" customHeight="true" outlineLevel="0" collapsed="false">
      <c r="A1" s="9" t="s">
        <v>434</v>
      </c>
      <c r="B1" s="9"/>
      <c r="C1" s="9"/>
      <c r="D1" s="9"/>
    </row>
    <row r="2" customFormat="false" ht="15.75" hidden="false" customHeight="true" outlineLevel="0" collapsed="false">
      <c r="A2" s="10" t="s">
        <v>435</v>
      </c>
      <c r="B2" s="10"/>
      <c r="C2" s="10"/>
      <c r="D2" s="10"/>
    </row>
    <row r="4" customFormat="false" ht="15" hidden="false" customHeight="false" outlineLevel="0" collapsed="false">
      <c r="A4" s="13" t="s">
        <v>436</v>
      </c>
      <c r="B4" s="13" t="s">
        <v>437</v>
      </c>
      <c r="C4" s="13" t="s">
        <v>438</v>
      </c>
      <c r="D4" s="13" t="s">
        <v>439</v>
      </c>
    </row>
    <row r="5" customFormat="false" ht="43.5" hidden="false" customHeight="true" outlineLevel="0" collapsed="false">
      <c r="A5" s="33" t="s">
        <v>440</v>
      </c>
      <c r="B5" s="41" t="s">
        <v>441</v>
      </c>
      <c r="C5" s="34" t="s">
        <v>442</v>
      </c>
      <c r="D5" s="35" t="s">
        <v>443</v>
      </c>
    </row>
    <row r="6" customFormat="false" ht="43.5" hidden="false" customHeight="true" outlineLevel="0" collapsed="false">
      <c r="A6" s="33" t="s">
        <v>444</v>
      </c>
      <c r="B6" s="41" t="s">
        <v>445</v>
      </c>
      <c r="C6" s="34" t="s">
        <v>446</v>
      </c>
      <c r="D6" s="35" t="s">
        <v>447</v>
      </c>
    </row>
    <row r="7" customFormat="false" ht="43.5" hidden="false" customHeight="true" outlineLevel="0" collapsed="false">
      <c r="A7" s="33" t="s">
        <v>448</v>
      </c>
      <c r="B7" s="41" t="s">
        <v>449</v>
      </c>
      <c r="C7" s="34" t="s">
        <v>450</v>
      </c>
      <c r="D7" s="35" t="s">
        <v>451</v>
      </c>
    </row>
    <row r="8" customFormat="false" ht="43.5" hidden="false" customHeight="true" outlineLevel="0" collapsed="false">
      <c r="A8" s="33" t="s">
        <v>452</v>
      </c>
      <c r="B8" s="41" t="s">
        <v>453</v>
      </c>
      <c r="C8" s="34" t="s">
        <v>454</v>
      </c>
      <c r="D8" s="35" t="s">
        <v>455</v>
      </c>
    </row>
    <row r="9" customFormat="false" ht="43.5" hidden="false" customHeight="true" outlineLevel="0" collapsed="false">
      <c r="A9" s="33" t="s">
        <v>456</v>
      </c>
      <c r="B9" s="41" t="s">
        <v>457</v>
      </c>
      <c r="C9" s="34" t="s">
        <v>458</v>
      </c>
      <c r="D9" s="35" t="s">
        <v>459</v>
      </c>
    </row>
    <row r="10" customFormat="false" ht="43.5" hidden="false" customHeight="true" outlineLevel="0" collapsed="false">
      <c r="A10" s="33" t="s">
        <v>460</v>
      </c>
      <c r="B10" s="41" t="s">
        <v>461</v>
      </c>
      <c r="C10" s="34" t="s">
        <v>462</v>
      </c>
      <c r="D10" s="35" t="s">
        <v>463</v>
      </c>
    </row>
    <row r="11" customFormat="false" ht="43.5" hidden="false" customHeight="true" outlineLevel="0" collapsed="false">
      <c r="A11" s="33" t="s">
        <v>464</v>
      </c>
      <c r="B11" s="41" t="s">
        <v>465</v>
      </c>
      <c r="C11" s="34" t="s">
        <v>466</v>
      </c>
      <c r="D11" s="35" t="s">
        <v>467</v>
      </c>
    </row>
    <row r="12" customFormat="false" ht="43.5" hidden="false" customHeight="true" outlineLevel="0" collapsed="false">
      <c r="A12" s="33" t="s">
        <v>244</v>
      </c>
      <c r="B12" s="41" t="s">
        <v>468</v>
      </c>
      <c r="C12" s="34" t="s">
        <v>469</v>
      </c>
      <c r="D12" s="35" t="s">
        <v>470</v>
      </c>
    </row>
    <row r="13" customFormat="false" ht="43.5" hidden="false" customHeight="true" outlineLevel="0" collapsed="false">
      <c r="A13" s="33" t="s">
        <v>471</v>
      </c>
      <c r="B13" s="41" t="s">
        <v>472</v>
      </c>
      <c r="C13" s="34" t="s">
        <v>473</v>
      </c>
      <c r="D13" s="35" t="s">
        <v>474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3" min="2" style="0" width="44"/>
    <col collapsed="false" customWidth="true" hidden="false" outlineLevel="0" max="4" min="4" style="0" width="38"/>
  </cols>
  <sheetData>
    <row r="1" customFormat="false" ht="30" hidden="false" customHeight="true" outlineLevel="0" collapsed="false">
      <c r="A1" s="42" t="s">
        <v>475</v>
      </c>
      <c r="B1" s="42"/>
      <c r="C1" s="42"/>
      <c r="D1" s="42"/>
    </row>
    <row r="2" customFormat="false" ht="15.75" hidden="false" customHeight="true" outlineLevel="0" collapsed="false">
      <c r="A2" s="10" t="s">
        <v>476</v>
      </c>
      <c r="B2" s="10"/>
      <c r="C2" s="10"/>
      <c r="D2" s="10"/>
    </row>
    <row r="4" customFormat="false" ht="15" hidden="false" customHeight="false" outlineLevel="0" collapsed="false">
      <c r="A4" s="43" t="s">
        <v>477</v>
      </c>
      <c r="B4" s="43" t="s">
        <v>478</v>
      </c>
      <c r="C4" s="43" t="s">
        <v>479</v>
      </c>
      <c r="D4" s="43" t="s">
        <v>480</v>
      </c>
    </row>
    <row r="5" customFormat="false" ht="85.5" hidden="false" customHeight="true" outlineLevel="0" collapsed="false">
      <c r="A5" s="44" t="s">
        <v>481</v>
      </c>
      <c r="B5" s="34" t="s">
        <v>482</v>
      </c>
      <c r="C5" s="34" t="s">
        <v>483</v>
      </c>
      <c r="D5" s="45" t="s">
        <v>484</v>
      </c>
    </row>
    <row r="6" customFormat="false" ht="85.5" hidden="false" customHeight="true" outlineLevel="0" collapsed="false">
      <c r="A6" s="44" t="s">
        <v>485</v>
      </c>
      <c r="B6" s="34" t="s">
        <v>486</v>
      </c>
      <c r="C6" s="34" t="s">
        <v>487</v>
      </c>
      <c r="D6" s="45" t="s">
        <v>488</v>
      </c>
    </row>
    <row r="7" customFormat="false" ht="85.5" hidden="false" customHeight="true" outlineLevel="0" collapsed="false">
      <c r="A7" s="44" t="s">
        <v>489</v>
      </c>
      <c r="B7" s="34" t="s">
        <v>490</v>
      </c>
      <c r="C7" s="34" t="s">
        <v>491</v>
      </c>
      <c r="D7" s="45" t="s">
        <v>492</v>
      </c>
    </row>
    <row r="8" customFormat="false" ht="85.5" hidden="false" customHeight="true" outlineLevel="0" collapsed="false">
      <c r="A8" s="44" t="s">
        <v>493</v>
      </c>
      <c r="B8" s="34" t="s">
        <v>494</v>
      </c>
      <c r="C8" s="34" t="s">
        <v>495</v>
      </c>
      <c r="D8" s="45" t="s">
        <v>496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42"/>
    <col collapsed="false" customWidth="true" hidden="false" outlineLevel="0" max="4" min="4" style="0" width="30"/>
  </cols>
  <sheetData>
    <row r="1" customFormat="false" ht="30" hidden="false" customHeight="true" outlineLevel="0" collapsed="false">
      <c r="A1" s="42" t="s">
        <v>497</v>
      </c>
      <c r="B1" s="42"/>
      <c r="C1" s="42"/>
      <c r="D1" s="42"/>
    </row>
    <row r="2" customFormat="false" ht="15.75" hidden="false" customHeight="true" outlineLevel="0" collapsed="false">
      <c r="A2" s="10" t="s">
        <v>498</v>
      </c>
      <c r="B2" s="10"/>
      <c r="C2" s="10"/>
      <c r="D2" s="10"/>
    </row>
    <row r="4" customFormat="false" ht="15" hidden="false" customHeight="false" outlineLevel="0" collapsed="false">
      <c r="A4" s="43" t="s">
        <v>499</v>
      </c>
      <c r="B4" s="43" t="s">
        <v>500</v>
      </c>
      <c r="C4" s="43" t="s">
        <v>501</v>
      </c>
      <c r="D4" s="43" t="s">
        <v>502</v>
      </c>
    </row>
    <row r="5" customFormat="false" ht="103.5" hidden="false" customHeight="true" outlineLevel="0" collapsed="false">
      <c r="A5" s="46" t="s">
        <v>503</v>
      </c>
      <c r="B5" s="34" t="s">
        <v>504</v>
      </c>
      <c r="C5" s="34" t="s">
        <v>505</v>
      </c>
      <c r="D5" s="47" t="s">
        <v>506</v>
      </c>
    </row>
    <row r="6" customFormat="false" ht="103.5" hidden="false" customHeight="true" outlineLevel="0" collapsed="false">
      <c r="A6" s="46" t="s">
        <v>507</v>
      </c>
      <c r="B6" s="34" t="s">
        <v>508</v>
      </c>
      <c r="C6" s="34" t="s">
        <v>509</v>
      </c>
      <c r="D6" s="47" t="s">
        <v>510</v>
      </c>
    </row>
    <row r="7" customFormat="false" ht="103.5" hidden="false" customHeight="true" outlineLevel="0" collapsed="false">
      <c r="A7" s="46" t="s">
        <v>511</v>
      </c>
      <c r="B7" s="34" t="s">
        <v>512</v>
      </c>
      <c r="C7" s="34" t="s">
        <v>513</v>
      </c>
      <c r="D7" s="47" t="s">
        <v>514</v>
      </c>
    </row>
    <row r="8" customFormat="false" ht="103.5" hidden="false" customHeight="true" outlineLevel="0" collapsed="false">
      <c r="A8" s="46" t="s">
        <v>515</v>
      </c>
      <c r="B8" s="34" t="s">
        <v>516</v>
      </c>
      <c r="C8" s="34" t="s">
        <v>517</v>
      </c>
      <c r="D8" s="47" t="s">
        <v>518</v>
      </c>
    </row>
    <row r="9" customFormat="false" ht="103.5" hidden="false" customHeight="true" outlineLevel="0" collapsed="false">
      <c r="A9" s="46" t="s">
        <v>519</v>
      </c>
      <c r="B9" s="34" t="s">
        <v>520</v>
      </c>
      <c r="C9" s="34" t="s">
        <v>521</v>
      </c>
      <c r="D9" s="47" t="s">
        <v>522</v>
      </c>
    </row>
    <row r="10" customFormat="false" ht="103.5" hidden="false" customHeight="true" outlineLevel="0" collapsed="false">
      <c r="A10" s="46" t="s">
        <v>523</v>
      </c>
      <c r="B10" s="34" t="s">
        <v>524</v>
      </c>
      <c r="C10" s="34" t="s">
        <v>525</v>
      </c>
      <c r="D10" s="47" t="s">
        <v>526</v>
      </c>
    </row>
    <row r="11" customFormat="false" ht="103.5" hidden="false" customHeight="true" outlineLevel="0" collapsed="false">
      <c r="A11" s="46" t="s">
        <v>527</v>
      </c>
      <c r="B11" s="34" t="s">
        <v>528</v>
      </c>
      <c r="C11" s="34" t="s">
        <v>529</v>
      </c>
      <c r="D11" s="47" t="s">
        <v>530</v>
      </c>
    </row>
    <row r="12" customFormat="false" ht="103.5" hidden="false" customHeight="true" outlineLevel="0" collapsed="false">
      <c r="A12" s="46" t="s">
        <v>531</v>
      </c>
      <c r="B12" s="34" t="s">
        <v>532</v>
      </c>
      <c r="C12" s="34" t="s">
        <v>533</v>
      </c>
      <c r="D12" s="47" t="s">
        <v>534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44"/>
    <col collapsed="false" customWidth="true" hidden="false" outlineLevel="0" max="3" min="3" style="0" width="52"/>
  </cols>
  <sheetData>
    <row r="1" customFormat="false" ht="30" hidden="false" customHeight="true" outlineLevel="0" collapsed="false">
      <c r="A1" s="42" t="s">
        <v>535</v>
      </c>
      <c r="B1" s="42"/>
      <c r="C1" s="42"/>
    </row>
    <row r="2" customFormat="false" ht="15.75" hidden="false" customHeight="true" outlineLevel="0" collapsed="false">
      <c r="A2" s="10" t="s">
        <v>536</v>
      </c>
      <c r="B2" s="10"/>
      <c r="C2" s="10"/>
    </row>
    <row r="4" customFormat="false" ht="15" hidden="false" customHeight="false" outlineLevel="0" collapsed="false">
      <c r="A4" s="43" t="s">
        <v>537</v>
      </c>
      <c r="B4" s="43" t="s">
        <v>538</v>
      </c>
      <c r="C4" s="43" t="s">
        <v>539</v>
      </c>
    </row>
    <row r="5" customFormat="false" ht="63.75" hidden="false" customHeight="true" outlineLevel="0" collapsed="false">
      <c r="A5" s="48" t="s">
        <v>540</v>
      </c>
      <c r="B5" s="49" t="s">
        <v>541</v>
      </c>
      <c r="C5" s="50" t="s">
        <v>542</v>
      </c>
    </row>
    <row r="6" customFormat="false" ht="63.75" hidden="false" customHeight="true" outlineLevel="0" collapsed="false">
      <c r="A6" s="48" t="s">
        <v>543</v>
      </c>
      <c r="B6" s="49" t="s">
        <v>544</v>
      </c>
      <c r="C6" s="50" t="s">
        <v>545</v>
      </c>
    </row>
    <row r="7" customFormat="false" ht="63.75" hidden="false" customHeight="true" outlineLevel="0" collapsed="false">
      <c r="A7" s="48" t="s">
        <v>546</v>
      </c>
      <c r="B7" s="49" t="s">
        <v>547</v>
      </c>
      <c r="C7" s="50" t="s">
        <v>548</v>
      </c>
    </row>
    <row r="8" customFormat="false" ht="63.75" hidden="false" customHeight="true" outlineLevel="0" collapsed="false">
      <c r="A8" s="48" t="s">
        <v>549</v>
      </c>
      <c r="B8" s="49" t="s">
        <v>550</v>
      </c>
      <c r="C8" s="50" t="s">
        <v>551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52"/>
    <col collapsed="false" customWidth="true" hidden="false" outlineLevel="0" max="4" min="4" style="0" width="26"/>
  </cols>
  <sheetData>
    <row r="1" customFormat="false" ht="30" hidden="false" customHeight="true" outlineLevel="0" collapsed="false">
      <c r="A1" s="42" t="s">
        <v>552</v>
      </c>
      <c r="B1" s="42"/>
      <c r="C1" s="42"/>
      <c r="D1" s="42"/>
    </row>
    <row r="2" customFormat="false" ht="15.75" hidden="false" customHeight="true" outlineLevel="0" collapsed="false">
      <c r="A2" s="10" t="s">
        <v>553</v>
      </c>
      <c r="B2" s="10"/>
      <c r="C2" s="10"/>
      <c r="D2" s="10"/>
    </row>
    <row r="4" customFormat="false" ht="15" hidden="false" customHeight="false" outlineLevel="0" collapsed="false">
      <c r="A4" s="43" t="s">
        <v>554</v>
      </c>
      <c r="B4" s="43" t="s">
        <v>555</v>
      </c>
      <c r="C4" s="43" t="s">
        <v>556</v>
      </c>
      <c r="D4" s="43" t="s">
        <v>557</v>
      </c>
    </row>
    <row r="5" customFormat="false" ht="91.5" hidden="false" customHeight="true" outlineLevel="0" collapsed="false">
      <c r="A5" s="46" t="s">
        <v>558</v>
      </c>
      <c r="B5" s="49" t="s">
        <v>559</v>
      </c>
      <c r="C5" s="34" t="s">
        <v>560</v>
      </c>
      <c r="D5" s="50" t="s">
        <v>561</v>
      </c>
    </row>
    <row r="6" customFormat="false" ht="91.5" hidden="false" customHeight="true" outlineLevel="0" collapsed="false">
      <c r="A6" s="46" t="s">
        <v>562</v>
      </c>
      <c r="B6" s="49" t="s">
        <v>563</v>
      </c>
      <c r="C6" s="34" t="s">
        <v>564</v>
      </c>
      <c r="D6" s="50" t="s">
        <v>565</v>
      </c>
    </row>
    <row r="7" customFormat="false" ht="91.5" hidden="false" customHeight="true" outlineLevel="0" collapsed="false">
      <c r="A7" s="46" t="s">
        <v>566</v>
      </c>
      <c r="B7" s="49" t="s">
        <v>567</v>
      </c>
      <c r="C7" s="34" t="s">
        <v>568</v>
      </c>
      <c r="D7" s="50" t="s">
        <v>569</v>
      </c>
    </row>
    <row r="8" customFormat="false" ht="91.5" hidden="false" customHeight="true" outlineLevel="0" collapsed="false">
      <c r="A8" s="46" t="s">
        <v>570</v>
      </c>
      <c r="B8" s="49" t="s">
        <v>571</v>
      </c>
      <c r="C8" s="34" t="s">
        <v>572</v>
      </c>
      <c r="D8" s="50" t="s">
        <v>573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84"/>
  </cols>
  <sheetData>
    <row r="1" customFormat="false" ht="30" hidden="false" customHeight="true" outlineLevel="0" collapsed="false">
      <c r="A1" s="42" t="s">
        <v>574</v>
      </c>
      <c r="B1" s="42"/>
    </row>
    <row r="2" customFormat="false" ht="15.75" hidden="false" customHeight="true" outlineLevel="0" collapsed="false">
      <c r="A2" s="10" t="s">
        <v>575</v>
      </c>
      <c r="B2" s="10"/>
    </row>
    <row r="4" customFormat="false" ht="49.5" hidden="false" customHeight="true" outlineLevel="0" collapsed="false">
      <c r="A4" s="46" t="s">
        <v>576</v>
      </c>
      <c r="B4" s="50" t="s">
        <v>577</v>
      </c>
    </row>
    <row r="5" customFormat="false" ht="49.5" hidden="false" customHeight="true" outlineLevel="0" collapsed="false">
      <c r="A5" s="46" t="s">
        <v>578</v>
      </c>
      <c r="B5" s="50" t="s">
        <v>579</v>
      </c>
    </row>
    <row r="6" customFormat="false" ht="49.5" hidden="false" customHeight="true" outlineLevel="0" collapsed="false">
      <c r="A6" s="46" t="s">
        <v>580</v>
      </c>
      <c r="B6" s="50" t="s">
        <v>581</v>
      </c>
    </row>
    <row r="7" customFormat="false" ht="49.5" hidden="false" customHeight="true" outlineLevel="0" collapsed="false">
      <c r="A7" s="46" t="s">
        <v>582</v>
      </c>
      <c r="B7" s="50" t="s">
        <v>583</v>
      </c>
    </row>
    <row r="8" customFormat="false" ht="49.5" hidden="false" customHeight="true" outlineLevel="0" collapsed="false">
      <c r="A8" s="46" t="s">
        <v>584</v>
      </c>
      <c r="B8" s="50" t="s">
        <v>585</v>
      </c>
    </row>
    <row r="9" customFormat="false" ht="49.5" hidden="false" customHeight="true" outlineLevel="0" collapsed="false">
      <c r="A9" s="46" t="s">
        <v>586</v>
      </c>
      <c r="B9" s="50" t="s">
        <v>587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52"/>
    <col collapsed="false" customWidth="true" hidden="false" outlineLevel="0" max="4" min="4" style="0" width="8"/>
  </cols>
  <sheetData>
    <row r="1" customFormat="false" ht="30" hidden="false" customHeight="true" outlineLevel="0" collapsed="false">
      <c r="A1" s="51" t="s">
        <v>588</v>
      </c>
      <c r="B1" s="51"/>
      <c r="C1" s="51"/>
      <c r="D1" s="51"/>
    </row>
    <row r="2" customFormat="false" ht="15.75" hidden="false" customHeight="true" outlineLevel="0" collapsed="false">
      <c r="A2" s="10" t="s">
        <v>589</v>
      </c>
      <c r="B2" s="10"/>
      <c r="C2" s="10"/>
      <c r="D2" s="10"/>
    </row>
    <row r="4" customFormat="false" ht="15" hidden="false" customHeight="false" outlineLevel="0" collapsed="false">
      <c r="A4" s="52" t="s">
        <v>590</v>
      </c>
      <c r="B4" s="52" t="s">
        <v>591</v>
      </c>
      <c r="C4" s="52" t="s">
        <v>592</v>
      </c>
      <c r="D4" s="52" t="s">
        <v>593</v>
      </c>
    </row>
    <row r="5" customFormat="false" ht="37.5" hidden="false" customHeight="true" outlineLevel="0" collapsed="false">
      <c r="A5" s="53" t="s">
        <v>594</v>
      </c>
      <c r="B5" s="15" t="s">
        <v>595</v>
      </c>
      <c r="C5" s="15" t="s">
        <v>596</v>
      </c>
      <c r="D5" s="54" t="s">
        <v>597</v>
      </c>
    </row>
    <row r="6" customFormat="false" ht="37.5" hidden="false" customHeight="true" outlineLevel="0" collapsed="false">
      <c r="A6" s="55" t="s">
        <v>598</v>
      </c>
      <c r="B6" s="15" t="s">
        <v>486</v>
      </c>
      <c r="C6" s="15" t="s">
        <v>599</v>
      </c>
      <c r="D6" s="54" t="s">
        <v>597</v>
      </c>
    </row>
    <row r="7" customFormat="false" ht="37.5" hidden="false" customHeight="true" outlineLevel="0" collapsed="false">
      <c r="A7" s="55" t="s">
        <v>598</v>
      </c>
      <c r="B7" s="15" t="s">
        <v>486</v>
      </c>
      <c r="C7" s="15" t="s">
        <v>600</v>
      </c>
      <c r="D7" s="54" t="s">
        <v>597</v>
      </c>
    </row>
    <row r="8" customFormat="false" ht="37.5" hidden="false" customHeight="true" outlineLevel="0" collapsed="false">
      <c r="A8" s="55" t="s">
        <v>598</v>
      </c>
      <c r="B8" s="15" t="s">
        <v>486</v>
      </c>
      <c r="C8" s="15" t="s">
        <v>601</v>
      </c>
      <c r="D8" s="54" t="s">
        <v>597</v>
      </c>
    </row>
    <row r="9" customFormat="false" ht="37.5" hidden="false" customHeight="true" outlineLevel="0" collapsed="false">
      <c r="A9" s="53" t="s">
        <v>598</v>
      </c>
      <c r="B9" s="15" t="s">
        <v>602</v>
      </c>
      <c r="C9" s="15" t="s">
        <v>603</v>
      </c>
      <c r="D9" s="54" t="s">
        <v>597</v>
      </c>
    </row>
    <row r="10" customFormat="false" ht="37.5" hidden="false" customHeight="true" outlineLevel="0" collapsed="false">
      <c r="A10" s="53" t="s">
        <v>598</v>
      </c>
      <c r="B10" s="15" t="s">
        <v>604</v>
      </c>
      <c r="C10" s="15" t="s">
        <v>605</v>
      </c>
      <c r="D10" s="54" t="s">
        <v>597</v>
      </c>
    </row>
    <row r="11" customFormat="false" ht="37.5" hidden="false" customHeight="true" outlineLevel="0" collapsed="false">
      <c r="A11" s="53" t="s">
        <v>606</v>
      </c>
      <c r="B11" s="15" t="s">
        <v>607</v>
      </c>
      <c r="C11" s="15" t="s">
        <v>608</v>
      </c>
      <c r="D11" s="54" t="s">
        <v>597</v>
      </c>
    </row>
    <row r="12" customFormat="false" ht="37.5" hidden="false" customHeight="true" outlineLevel="0" collapsed="false">
      <c r="A12" s="53" t="s">
        <v>609</v>
      </c>
      <c r="B12" s="15" t="s">
        <v>610</v>
      </c>
      <c r="C12" s="15" t="s">
        <v>611</v>
      </c>
      <c r="D12" s="54" t="s">
        <v>597</v>
      </c>
    </row>
    <row r="13" customFormat="false" ht="37.5" hidden="false" customHeight="true" outlineLevel="0" collapsed="false">
      <c r="A13" s="53" t="s">
        <v>609</v>
      </c>
      <c r="B13" s="15" t="s">
        <v>612</v>
      </c>
      <c r="C13" s="15" t="s">
        <v>613</v>
      </c>
      <c r="D13" s="54" t="s">
        <v>597</v>
      </c>
    </row>
    <row r="14" customFormat="false" ht="37.5" hidden="false" customHeight="true" outlineLevel="0" collapsed="false">
      <c r="A14" s="53" t="s">
        <v>609</v>
      </c>
      <c r="B14" s="15" t="s">
        <v>614</v>
      </c>
      <c r="C14" s="15" t="s">
        <v>615</v>
      </c>
      <c r="D14" s="54" t="s">
        <v>597</v>
      </c>
    </row>
    <row r="15" customFormat="false" ht="37.5" hidden="false" customHeight="true" outlineLevel="0" collapsed="false">
      <c r="A15" s="53" t="s">
        <v>609</v>
      </c>
      <c r="B15" s="15" t="s">
        <v>616</v>
      </c>
      <c r="C15" s="15" t="s">
        <v>617</v>
      </c>
      <c r="D15" s="54" t="s">
        <v>597</v>
      </c>
    </row>
    <row r="16" customFormat="false" ht="30" hidden="false" customHeight="true" outlineLevel="0" collapsed="false">
      <c r="A16" s="56" t="s">
        <v>618</v>
      </c>
      <c r="B16" s="57" t="s">
        <v>619</v>
      </c>
      <c r="C16" s="57"/>
      <c r="D16" s="57"/>
    </row>
    <row r="18" customFormat="false" ht="15" hidden="false" customHeight="false" outlineLevel="0" collapsed="false">
      <c r="A18" s="58" t="s">
        <v>620</v>
      </c>
      <c r="B18" s="58"/>
      <c r="C18" s="58"/>
      <c r="D18" s="58"/>
    </row>
    <row r="19" customFormat="false" ht="30" hidden="false" customHeight="true" outlineLevel="0" collapsed="false">
      <c r="A19" s="32" t="s">
        <v>621</v>
      </c>
      <c r="B19" s="32"/>
      <c r="C19" s="32"/>
      <c r="D19" s="32"/>
    </row>
    <row r="20" customFormat="false" ht="30" hidden="false" customHeight="true" outlineLevel="0" collapsed="false">
      <c r="A20" s="32" t="s">
        <v>622</v>
      </c>
      <c r="B20" s="32"/>
      <c r="C20" s="32"/>
      <c r="D20" s="32"/>
    </row>
    <row r="21" customFormat="false" ht="30" hidden="false" customHeight="true" outlineLevel="0" collapsed="false">
      <c r="A21" s="32" t="s">
        <v>623</v>
      </c>
      <c r="B21" s="32"/>
      <c r="C21" s="32"/>
      <c r="D21" s="32"/>
    </row>
    <row r="22" customFormat="false" ht="30" hidden="false" customHeight="true" outlineLevel="0" collapsed="false">
      <c r="A22" s="32" t="s">
        <v>624</v>
      </c>
      <c r="B22" s="32"/>
      <c r="C22" s="32"/>
      <c r="D22" s="32"/>
    </row>
    <row r="23" customFormat="false" ht="30" hidden="false" customHeight="true" outlineLevel="0" collapsed="false">
      <c r="A23" s="32" t="s">
        <v>625</v>
      </c>
      <c r="B23" s="32"/>
      <c r="C23" s="32"/>
      <c r="D23" s="32"/>
    </row>
    <row r="24" customFormat="false" ht="30" hidden="false" customHeight="true" outlineLevel="0" collapsed="false">
      <c r="A24" s="32" t="s">
        <v>626</v>
      </c>
      <c r="B24" s="32"/>
      <c r="C24" s="32"/>
      <c r="D24" s="32"/>
    </row>
  </sheetData>
  <mergeCells count="10">
    <mergeCell ref="A1:D1"/>
    <mergeCell ref="A2:D2"/>
    <mergeCell ref="B16:D16"/>
    <mergeCell ref="A18:D18"/>
    <mergeCell ref="A19:D19"/>
    <mergeCell ref="A20:D20"/>
    <mergeCell ref="A21:D21"/>
    <mergeCell ref="A22:D22"/>
    <mergeCell ref="A23:D23"/>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38"/>
    <col collapsed="false" customWidth="true" hidden="false" outlineLevel="0" max="4" min="4" style="0" width="40"/>
    <col collapsed="false" customWidth="true" hidden="false" outlineLevel="0" max="5" min="5" style="0" width="24"/>
    <col collapsed="false" customWidth="true" hidden="false" outlineLevel="0" max="6" min="6" style="0" width="16"/>
  </cols>
  <sheetData>
    <row r="1" customFormat="false" ht="30" hidden="false" customHeight="true" outlineLevel="0" collapsed="false">
      <c r="A1" s="9" t="s">
        <v>627</v>
      </c>
      <c r="B1" s="9"/>
      <c r="C1" s="9"/>
      <c r="D1" s="9"/>
      <c r="E1" s="9"/>
      <c r="F1" s="9"/>
    </row>
    <row r="2" customFormat="false" ht="15.75" hidden="false" customHeight="true" outlineLevel="0" collapsed="false">
      <c r="A2" s="10" t="s">
        <v>628</v>
      </c>
      <c r="B2" s="10"/>
      <c r="C2" s="10"/>
      <c r="D2" s="10"/>
      <c r="E2" s="10"/>
      <c r="F2" s="10"/>
    </row>
    <row r="4" customFormat="false" ht="15" hidden="false" customHeight="false" outlineLevel="0" collapsed="false">
      <c r="A4" s="13" t="s">
        <v>629</v>
      </c>
      <c r="B4" s="13" t="s">
        <v>630</v>
      </c>
      <c r="C4" s="13" t="s">
        <v>631</v>
      </c>
      <c r="D4" s="13" t="s">
        <v>632</v>
      </c>
      <c r="E4" s="13" t="s">
        <v>633</v>
      </c>
      <c r="F4" s="13" t="s">
        <v>634</v>
      </c>
    </row>
    <row r="5" customFormat="false" ht="51.75" hidden="false" customHeight="true" outlineLevel="0" collapsed="false">
      <c r="A5" s="59" t="n">
        <v>1</v>
      </c>
      <c r="B5" s="33" t="s">
        <v>635</v>
      </c>
      <c r="C5" s="34" t="s">
        <v>636</v>
      </c>
      <c r="D5" s="35" t="s">
        <v>637</v>
      </c>
      <c r="E5" s="34" t="s">
        <v>638</v>
      </c>
      <c r="F5" s="34" t="s">
        <v>639</v>
      </c>
    </row>
    <row r="6" customFormat="false" ht="51.75" hidden="false" customHeight="true" outlineLevel="0" collapsed="false">
      <c r="A6" s="59" t="n">
        <v>2</v>
      </c>
      <c r="B6" s="33" t="s">
        <v>640</v>
      </c>
      <c r="C6" s="34" t="s">
        <v>641</v>
      </c>
      <c r="D6" s="35" t="s">
        <v>642</v>
      </c>
      <c r="E6" s="34" t="s">
        <v>643</v>
      </c>
      <c r="F6" s="34" t="s">
        <v>644</v>
      </c>
    </row>
    <row r="7" customFormat="false" ht="51.75" hidden="false" customHeight="true" outlineLevel="0" collapsed="false">
      <c r="A7" s="59" t="n">
        <v>3</v>
      </c>
      <c r="B7" s="33" t="s">
        <v>645</v>
      </c>
      <c r="C7" s="34" t="s">
        <v>646</v>
      </c>
      <c r="D7" s="35" t="s">
        <v>647</v>
      </c>
      <c r="E7" s="34" t="s">
        <v>648</v>
      </c>
      <c r="F7" s="34" t="s">
        <v>649</v>
      </c>
    </row>
    <row r="8" customFormat="false" ht="51.75" hidden="false" customHeight="true" outlineLevel="0" collapsed="false">
      <c r="A8" s="59" t="n">
        <v>4</v>
      </c>
      <c r="B8" s="33" t="s">
        <v>650</v>
      </c>
      <c r="C8" s="34" t="s">
        <v>651</v>
      </c>
      <c r="D8" s="35" t="s">
        <v>652</v>
      </c>
      <c r="E8" s="34" t="s">
        <v>648</v>
      </c>
      <c r="F8" s="34" t="s">
        <v>225</v>
      </c>
    </row>
    <row r="9" customFormat="false" ht="51.75" hidden="false" customHeight="true" outlineLevel="0" collapsed="false">
      <c r="A9" s="59" t="n">
        <v>5</v>
      </c>
      <c r="B9" s="33" t="s">
        <v>653</v>
      </c>
      <c r="C9" s="34" t="s">
        <v>654</v>
      </c>
      <c r="D9" s="35" t="s">
        <v>655</v>
      </c>
      <c r="E9" s="34" t="s">
        <v>656</v>
      </c>
      <c r="F9" s="34" t="s">
        <v>657</v>
      </c>
    </row>
    <row r="10" customFormat="false" ht="51.75" hidden="false" customHeight="true" outlineLevel="0" collapsed="false">
      <c r="A10" s="59" t="n">
        <v>6</v>
      </c>
      <c r="B10" s="33" t="s">
        <v>658</v>
      </c>
      <c r="C10" s="34" t="s">
        <v>659</v>
      </c>
      <c r="D10" s="35" t="s">
        <v>660</v>
      </c>
      <c r="E10" s="34" t="s">
        <v>661</v>
      </c>
      <c r="F10" s="34" t="s">
        <v>662</v>
      </c>
    </row>
    <row r="11" customFormat="false" ht="51.75" hidden="false" customHeight="true" outlineLevel="0" collapsed="false">
      <c r="A11" s="59" t="n">
        <v>7</v>
      </c>
      <c r="B11" s="33" t="s">
        <v>214</v>
      </c>
      <c r="C11" s="34" t="s">
        <v>663</v>
      </c>
      <c r="D11" s="35" t="s">
        <v>664</v>
      </c>
      <c r="E11" s="34" t="s">
        <v>665</v>
      </c>
      <c r="F11" s="34" t="s">
        <v>649</v>
      </c>
    </row>
    <row r="12" customFormat="false" ht="51.75" hidden="false" customHeight="true" outlineLevel="0" collapsed="false">
      <c r="A12" s="59" t="n">
        <v>8</v>
      </c>
      <c r="B12" s="33" t="s">
        <v>260</v>
      </c>
      <c r="C12" s="34" t="s">
        <v>666</v>
      </c>
      <c r="D12" s="35" t="s">
        <v>667</v>
      </c>
      <c r="E12" s="34" t="s">
        <v>668</v>
      </c>
      <c r="F12" s="34" t="s">
        <v>649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6"/>
  </cols>
  <sheetData>
    <row r="1" customFormat="false" ht="30" hidden="false" customHeight="true" outlineLevel="0" collapsed="false">
      <c r="A1" s="42" t="s">
        <v>669</v>
      </c>
      <c r="B1" s="42"/>
    </row>
    <row r="2" customFormat="false" ht="15.75" hidden="false" customHeight="true" outlineLevel="0" collapsed="false">
      <c r="A2" s="10" t="s">
        <v>670</v>
      </c>
      <c r="B2" s="10"/>
    </row>
    <row r="4" customFormat="false" ht="48" hidden="false" customHeight="true" outlineLevel="0" collapsed="false">
      <c r="A4" s="46" t="s">
        <v>671</v>
      </c>
      <c r="B4" s="50" t="s">
        <v>672</v>
      </c>
    </row>
    <row r="5" customFormat="false" ht="48" hidden="false" customHeight="true" outlineLevel="0" collapsed="false">
      <c r="A5" s="46" t="s">
        <v>673</v>
      </c>
      <c r="B5" s="50" t="s">
        <v>674</v>
      </c>
    </row>
    <row r="6" customFormat="false" ht="48" hidden="false" customHeight="true" outlineLevel="0" collapsed="false">
      <c r="A6" s="46" t="s">
        <v>675</v>
      </c>
      <c r="B6" s="50" t="s">
        <v>676</v>
      </c>
    </row>
    <row r="7" customFormat="false" ht="48" hidden="false" customHeight="true" outlineLevel="0" collapsed="false">
      <c r="A7" s="46" t="s">
        <v>677</v>
      </c>
      <c r="B7" s="50" t="s">
        <v>678</v>
      </c>
    </row>
    <row r="8" customFormat="false" ht="48" hidden="false" customHeight="true" outlineLevel="0" collapsed="false">
      <c r="A8" s="46" t="s">
        <v>679</v>
      </c>
      <c r="B8" s="50" t="s">
        <v>680</v>
      </c>
    </row>
    <row r="9" customFormat="false" ht="48" hidden="false" customHeight="true" outlineLevel="0" collapsed="false">
      <c r="A9" s="46" t="s">
        <v>681</v>
      </c>
      <c r="B9" s="50" t="s">
        <v>682</v>
      </c>
    </row>
    <row r="10" customFormat="false" ht="48" hidden="false" customHeight="true" outlineLevel="0" collapsed="false">
      <c r="A10" s="46" t="s">
        <v>683</v>
      </c>
      <c r="B10" s="50" t="s">
        <v>684</v>
      </c>
    </row>
    <row r="11" customFormat="false" ht="48" hidden="false" customHeight="true" outlineLevel="0" collapsed="false">
      <c r="A11" s="46" t="s">
        <v>685</v>
      </c>
      <c r="B11" s="50" t="s">
        <v>686</v>
      </c>
    </row>
    <row r="12" customFormat="false" ht="48" hidden="false" customHeight="true" outlineLevel="0" collapsed="false">
      <c r="A12" s="46" t="s">
        <v>687</v>
      </c>
      <c r="B12" s="50" t="s">
        <v>688</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6"/>
  </cols>
  <sheetData>
    <row r="1" customFormat="false" ht="30" hidden="false" customHeight="true" outlineLevel="0" collapsed="false">
      <c r="A1" s="42" t="s">
        <v>689</v>
      </c>
      <c r="B1" s="42"/>
    </row>
    <row r="2" customFormat="false" ht="15.75" hidden="false" customHeight="true" outlineLevel="0" collapsed="false">
      <c r="A2" s="10" t="s">
        <v>690</v>
      </c>
      <c r="B2" s="10"/>
    </row>
    <row r="4" customFormat="false" ht="51.75" hidden="false" customHeight="true" outlineLevel="0" collapsed="false">
      <c r="A4" s="46" t="s">
        <v>691</v>
      </c>
      <c r="B4" s="50" t="s">
        <v>692</v>
      </c>
    </row>
    <row r="5" customFormat="false" ht="51.75" hidden="false" customHeight="true" outlineLevel="0" collapsed="false">
      <c r="A5" s="46" t="s">
        <v>693</v>
      </c>
      <c r="B5" s="50" t="s">
        <v>694</v>
      </c>
    </row>
    <row r="6" customFormat="false" ht="51.75" hidden="false" customHeight="true" outlineLevel="0" collapsed="false">
      <c r="A6" s="46" t="s">
        <v>695</v>
      </c>
      <c r="B6" s="50" t="s">
        <v>696</v>
      </c>
    </row>
    <row r="7" customFormat="false" ht="51.75" hidden="false" customHeight="true" outlineLevel="0" collapsed="false">
      <c r="A7" s="46" t="s">
        <v>697</v>
      </c>
      <c r="B7" s="50" t="s">
        <v>698</v>
      </c>
    </row>
    <row r="8" customFormat="false" ht="51.75" hidden="false" customHeight="true" outlineLevel="0" collapsed="false">
      <c r="A8" s="46" t="s">
        <v>699</v>
      </c>
      <c r="B8" s="50" t="s">
        <v>700</v>
      </c>
    </row>
    <row r="9" customFormat="false" ht="51.75" hidden="false" customHeight="true" outlineLevel="0" collapsed="false">
      <c r="A9" s="46" t="s">
        <v>701</v>
      </c>
      <c r="B9" s="50" t="s">
        <v>702</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2026-06-18T22:06:03Z</dcterms:created>
  <dc:creator>openpyxl</dc:creator>
  <dc:description/>
  <dc:language>en-US</dc:language>
  <cp:lastModifiedBy/>
  <dcterms:modified xsi:type="dcterms:W3CDTF">2026-06-18T22:06:03Z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