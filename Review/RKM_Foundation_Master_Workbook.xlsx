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Master Findings" sheetId="2" state="visible" r:id="rId4"/>
    <sheet name="Validation Status" sheetId="3" state="visible" r:id="rId5"/>
    <sheet name="Revenue Opportunities" sheetId="4" state="visible" r:id="rId6"/>
    <sheet name="UX-UI Improvements" sheetId="5" state="visible" r:id="rId7"/>
    <sheet name="Conversion Improvements" sheetId="6" state="visible" r:id="rId8"/>
    <sheet name="Retention Opportunities" sheetId="7" state="visible" r:id="rId9"/>
    <sheet name="Customer Intelligence" sheetId="8" state="visible" r:id="rId10"/>
    <sheet name="Technical Improvements" sheetId="9" state="visible" r:id="rId11"/>
    <sheet name="SEO Improvements" sheetId="10" state="visible" r:id="rId12"/>
    <sheet name="Accessibility Improvements" sheetId="11" state="visible" r:id="rId13"/>
    <sheet name="Competitor Benchmarking" sheetId="12" state="visible" r:id="rId14"/>
    <sheet name="Quick Wins" sheetId="13" state="visible" r:id="rId15"/>
    <sheet name="High Impact Initiatives" sheetId="14" state="visible" r:id="rId16"/>
    <sheet name="Roadmap" sheetId="15" state="visible" r:id="rId17"/>
    <sheet name="Owner Decisions Required" sheetId="16" state="visible" r:id="rId18"/>
    <sheet name="Risks &amp; Dependencies" sheetId="17" state="visible" r:id="rId19"/>
  </sheets>
  <definedNames>
    <definedName function="false" hidden="true" localSheetId="1" name="_xlnm._FilterDatabase" vbProcedure="false">'Master Findings'!$A$4:$N$43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<sst xmlns="http://schemas.openxmlformats.org/spreadsheetml/2006/main" count="1157" uniqueCount="435">
  <si>
    <t xml:space="preserve">RKM FOUNDATION</t>
  </si>
  <si>
    <t xml:space="preserve">Master Audit, Validation &amp; Growth Workbook</t>
  </si>
  <si>
    <t xml:space="preserve">Compiled autonomously 19 June 2026 · Live site, donate flow, technical, SEO &amp; competitors verified in-browser</t>
  </si>
  <si>
    <t xml:space="preserve">The state of play</t>
  </si>
  <si>
    <t xml:space="preserve">RKM's site is modern (Next.js) and its TRUST FOUNDATIONS are genuinely strong: 12A/80G/CSR-1/DARPAN, a published governance/anti-fraud policy set, a strong CSR page, a capable donate widget (incl. a real Razorpay subscription), and an authentic founder story. The growth gap is not the website — it's the RECURRING ENGINE, visible PROOF, and donor-economics MEASUREMENT.</t>
  </si>
  <si>
    <t xml:space="preserve">The 3 biggest verified unlocks</t>
  </si>
  <si>
    <t xml:space="preserve">1) Enable UPI Autopay for monthly (REV-1) — today monthly is card-only, gating the highest-LTV revenue to a minority. 2) Build the recurring engine — default monthly + a donor club + monthly impact updates (REV-2/REV-3/RET-2). 3) Make impact PROVABLE — impact counters, published audited financials, and on-page social proof (CVR-3/REV-5).</t>
  </si>
  <si>
    <t xml:space="preserve">What I verified vs what needs you</t>
  </si>
  <si>
    <t xml:space="preserve">VERIFIED in-browser: the full donor journey, that the checkout opens (slowly) but payment COMPLETION was not tested, the monthly card-only limitation, technical health, SEO infrastructure, and key competitor practices. NEEDS YOU: the ₹100 payment tests, Razorpay dashboard config, the donor-data export, publishing financials, and analytics access. These are listed in 'Owner Decisions Required'.</t>
  </si>
  <si>
    <t xml:space="preserve">How to read this workbook</t>
  </si>
  <si>
    <t xml:space="preserve">'Master Findings' is the single source of truth (39 findings, full schema, validation status). The category tabs are filtered views of it. 'Quick Wins', 'High Impact Initiatives', 'Roadmap', 'Owner Decisions' and 'Risks &amp; Dependencies' turn it into a plan. Companion file RKM_Foundation_Audit.xlsx holds the master prompt, deep-dive strategy, build kit and test runbook.</t>
  </si>
  <si>
    <t xml:space="preserve">Honest limits</t>
  </si>
  <si>
    <t xml:space="preserve">I cannot deploy code, change Razorpay settings, complete payments, or access the dashboard/donor data/analytics from here. So most fixes are drafted/specified by me and shipped by you or a dev, and all payment + data + financial items are routed to you. Nothing here was inflated; unverifiable items are marked HYPOTHESIS.</t>
  </si>
  <si>
    <t xml:space="preserve">Master Findings — Register</t>
  </si>
  <si>
    <t xml:space="preserve">Single source of truth. Every finding with evidence, validation status, impact, effort, risk, priority and ownership.</t>
  </si>
  <si>
    <t xml:space="preserve">ID</t>
  </si>
  <si>
    <t xml:space="preserve">Category</t>
  </si>
  <si>
    <t xml:space="preserve">Description</t>
  </si>
  <si>
    <t xml:space="preserve">Evidence</t>
  </si>
  <si>
    <t xml:space="preserve">Validation Source</t>
  </si>
  <si>
    <t xml:space="preserve">Validation Status</t>
  </si>
  <si>
    <t xml:space="preserve">Business Impact</t>
  </si>
  <si>
    <t xml:space="preserve">Customer Impact</t>
  </si>
  <si>
    <t xml:space="preserve">Revenue Impact (assumptions if estimated)</t>
  </si>
  <si>
    <t xml:space="preserve">Effort</t>
  </si>
  <si>
    <t xml:space="preserve">Risk</t>
  </si>
  <si>
    <t xml:space="preserve">Priority</t>
  </si>
  <si>
    <t xml:space="preserve">Recommendation</t>
  </si>
  <si>
    <t xml:space="preserve">Implement autonomously?</t>
  </si>
  <si>
    <t xml:space="preserve">REV-1</t>
  </si>
  <si>
    <t xml:space="preserve">Revenue</t>
  </si>
  <si>
    <t xml:space="preserve">Monthly donations support CARDS ONLY — no UPI Autopay / Netbanking / Wallet on the subscription checkout (one-time has all).</t>
  </si>
  <si>
    <t xml:space="preserve">Razorpay subscription modal, monthly flow</t>
  </si>
  <si>
    <t xml:space="preserve">Verified in Browser</t>
  </si>
  <si>
    <t xml:space="preserve">VERIFIED</t>
  </si>
  <si>
    <t xml:space="preserve">High</t>
  </si>
  <si>
    <t xml:space="preserve">Most Indian donors can't set up a monthly gift</t>
  </si>
  <si>
    <t xml:space="preserve">Highest-LTV revenue stream is gated to a minority (cards). UPI dominates Indian digital payments — likely large suppression of monthly signups. Size with donor data.</t>
  </si>
  <si>
    <t xml:space="preserve">Low-Med</t>
  </si>
  <si>
    <t xml:space="preserve">Med</t>
  </si>
  <si>
    <t xml:space="preserve">P0</t>
  </si>
  <si>
    <t xml:space="preserve">Enable UPI Autopay (e-mandate) for Subscriptions in Razorpay, then re-test.</t>
  </si>
  <si>
    <t xml:space="preserve">No — payment (test/verify first)</t>
  </si>
  <si>
    <t xml:space="preserve">REV-2</t>
  </si>
  <si>
    <t xml:space="preserve">Monthly is not the default ask — the donate widget defaults to One-Time.</t>
  </si>
  <si>
    <t xml:space="preserve">Donate widget toggle</t>
  </si>
  <si>
    <t xml:space="preserve">Donors nudged to one-time, not sustained giving</t>
  </si>
  <si>
    <t xml:space="preserve">Defaulting to monthly is among the most-cited nonprofit uplifts; quantify with donor data.</t>
  </si>
  <si>
    <t xml:space="preserve">Low</t>
  </si>
  <si>
    <t xml:space="preserve">Make Monthly the default tab; one-time secondary.</t>
  </si>
  <si>
    <t xml:space="preserve">Draft now; dev deploys (test on donate page)</t>
  </si>
  <si>
    <t xml:space="preserve">REV-3</t>
  </si>
  <si>
    <t xml:space="preserve">No monthly donor club / identity — recurring is a transaction, not a membership.</t>
  </si>
  <si>
    <t xml:space="preserve">Site-wide; donate + media</t>
  </si>
  <si>
    <t xml:space="preserve">Verified on Website</t>
  </si>
  <si>
    <t xml:space="preserve">No belonging or recognition for committed donors</t>
  </si>
  <si>
    <t xml:space="preserve">Clubs (charity:water 'The Spring', give.do 'Give Monthly') lift recurring acquisition + retention.</t>
  </si>
  <si>
    <t xml:space="preserve">P1</t>
  </si>
  <si>
    <t xml:space="preserve">Launch 'Guardian Circle' with identity, welcome kit, monthly updates.</t>
  </si>
  <si>
    <t xml:space="preserve">Draft now; dev deploys</t>
  </si>
  <si>
    <t xml:space="preserve">REV-4</t>
  </si>
  <si>
    <t xml:space="preserve">No major-gift / HNI path (₹50k–₹5L donors have no tailored route).</t>
  </si>
  <si>
    <t xml:space="preserve">Donate page</t>
  </si>
  <si>
    <t xml:space="preserve">Med-High</t>
  </si>
  <si>
    <t xml:space="preserve">High-capacity donors under-served</t>
  </si>
  <si>
    <t xml:space="preserve">Major gifts are a top revenue lever; one HNI relationship can exceed months of small gifts.</t>
  </si>
  <si>
    <t xml:space="preserve">P2</t>
  </si>
  <si>
    <t xml:space="preserve">Add sponsor-a-kennel / fund-a-route / name-a-programme + personal contact + stewardship.</t>
  </si>
  <si>
    <t xml:space="preserve">REV-5</t>
  </si>
  <si>
    <t xml:space="preserve">No published audited financials or annual report (site claims 'every rupee accounted for' + annual audit).</t>
  </si>
  <si>
    <t xml:space="preserve">Home, Legal, Media (claims); Downloads (certs only)</t>
  </si>
  <si>
    <t xml:space="preserve">Large donors/CSR can't reconcile claims to accounts</t>
  </si>
  <si>
    <t xml:space="preserve">Unlocks CSR (₹25L–₹1Cr) and HNI gifts that won't move without financials. charity:water publishes 'See Our Financials'.</t>
  </si>
  <si>
    <t xml:space="preserve">Publish audited financials + 1-page annual impact report + program/admin % split (PDF).</t>
  </si>
  <si>
    <t xml:space="preserve">No — needs your financials / CA + trustee sign-off</t>
  </si>
  <si>
    <t xml:space="preserve">REV-6</t>
  </si>
  <si>
    <t xml:space="preserve">CSR page is strong but lacks named corporate partners, a sample utilisation certificate, and impact numbers.</t>
  </si>
  <si>
    <t xml:space="preserve">/csr page</t>
  </si>
  <si>
    <t xml:space="preserve">CSR committees lack the proof to approve large grants</t>
  </si>
  <si>
    <t xml:space="preserve">Named partners + sample reporting de-risk the first/large corporate cheque.</t>
  </si>
  <si>
    <t xml:space="preserve">Add 1-2 partner case studies, a sample utilisation cert, audited financials; build a CSR pitch deck + outbound.</t>
  </si>
  <si>
    <t xml:space="preserve">Partial — I draft deck/templates; partners need you</t>
  </si>
  <si>
    <t xml:space="preserve">REV-7</t>
  </si>
  <si>
    <t xml:space="preserve">No third-party validation listing/badge (e.g. GiveIndia/Give.do; Candid/Charity-Navigator equivalents).</t>
  </si>
  <si>
    <t xml:space="preserve">RKM site (absent); competitor pages (present)</t>
  </si>
  <si>
    <t xml:space="preserve">Verified on Website + Competitor Benchmark</t>
  </si>
  <si>
    <t xml:space="preserve">Donors lack borrowed trust they get elsewhere</t>
  </si>
  <si>
    <t xml:space="preserve">give.do shows 'verified NGO'; charity:water shows 4 rating badges — both convert trust to gifts.</t>
  </si>
  <si>
    <t xml:space="preserve">List + get verified on GiveIndia/Give.do; display the badge on home/donate/CSR.</t>
  </si>
  <si>
    <t xml:space="preserve">No — third-party signup (your decision)</t>
  </si>
  <si>
    <t xml:space="preserve">CVR-1</t>
  </si>
  <si>
    <t xml:space="preserve">Conversion</t>
  </si>
  <si>
    <t xml:space="preserve">Checkout opens slowly: 'Opening secure payment…' hangs ~5-10s (one-time AND monthly) before Razorpay appears.</t>
  </si>
  <si>
    <t xml:space="preserve">Both donate flows</t>
  </si>
  <si>
    <t xml:space="preserve">Feels broken; donors abandon</t>
  </si>
  <si>
    <t xml:space="preserve">Each second of payment delay raises abandonment; likely the cause of the reported 'not working'.</t>
  </si>
  <si>
    <t xml:space="preserve">Pre-create the Razorpay order on form focus; show progress; target &lt;1.5s.</t>
  </si>
  <si>
    <t xml:space="preserve">CVR-2</t>
  </si>
  <si>
    <t xml:space="preserve">Payment COMPLETION not verified (we don't process real payments).</t>
  </si>
  <si>
    <t xml:space="preserve">Tested to checkout only</t>
  </si>
  <si>
    <t xml:space="preserve">Not verified (by design)</t>
  </si>
  <si>
    <t xml:space="preserve">HYPOTHESIS</t>
  </si>
  <si>
    <t xml:space="preserve">Critical</t>
  </si>
  <si>
    <t xml:space="preserve">If completion fails, zero donations land</t>
  </si>
  <si>
    <t xml:space="preserve">Unknown until tested — could be the single biggest leak or fine.</t>
  </si>
  <si>
    <t xml:space="preserve">Run ₹100 one-time + ₹100 monthly tests end-to-end (see runbook).</t>
  </si>
  <si>
    <t xml:space="preserve">No — you run the test</t>
  </si>
  <si>
    <t xml:space="preserve">CVR-3</t>
  </si>
  <si>
    <t xml:space="preserve">Social proof not where people decide — testimonials live on /media, absent from home/donate.</t>
  </si>
  <si>
    <t xml:space="preserve">/media vs home/donate</t>
  </si>
  <si>
    <t xml:space="preserve">Donors see assertions, not evidence, at the decision point</t>
  </si>
  <si>
    <t xml:space="preserve">On-page social proof is a standard conversion lift; give.do runs a live donation ticker.</t>
  </si>
  <si>
    <t xml:space="preserve">Surface 2-3 independent donor testimonials + a donor count on home &amp; donate.</t>
  </si>
  <si>
    <t xml:space="preserve">CVR-4</t>
  </si>
  <si>
    <t xml:space="preserve">No specific live rescue cases with funding goals — only generic 'an animal is waiting'.</t>
  </si>
  <si>
    <t xml:space="preserve">Home; competitor give.do uses live fundraisers</t>
  </si>
  <si>
    <t xml:space="preserve">No urgency or tangible target to rally behind</t>
  </si>
  <si>
    <t xml:space="preserve">Named goal + progress bar drives both conversion and average gift.</t>
  </si>
  <si>
    <t xml:space="preserve">Add an 'active cases' module (name, photo, ₹ goal, progress bar).</t>
  </si>
  <si>
    <t xml:space="preserve">Draft now; needs your case data/photos</t>
  </si>
  <si>
    <t xml:space="preserve">CVR-5</t>
  </si>
  <si>
    <t xml:space="preserve">₹1,000 minimum donation filters out small / first-time donors.</t>
  </si>
  <si>
    <t xml:space="preserve">Donate widget; FAQ</t>
  </si>
  <si>
    <t xml:space="preserve">Low-capacity first-timers excluded</t>
  </si>
  <si>
    <t xml:space="preserve">A small first gift seeds future upgrades; raising the floor caps top-of-funnel.</t>
  </si>
  <si>
    <t xml:space="preserve">A/B test a ₹100-₹500 entry tier with an upgrade path.</t>
  </si>
  <si>
    <t xml:space="preserve">Draft now; dev deploys / test</t>
  </si>
  <si>
    <t xml:space="preserve">CVR-6</t>
  </si>
  <si>
    <t xml:space="preserve">Returning to the donate page auto-reopens the previous Razorpay checkout from prior state.</t>
  </si>
  <si>
    <t xml:space="preserve">Donate revisit</t>
  </si>
  <si>
    <t xml:space="preserve">Confusing; donor can't restart cleanly</t>
  </si>
  <si>
    <t xml:space="preserve">Minor friction/abandonment.</t>
  </si>
  <si>
    <t xml:space="preserve">Clear checkout state on page load.</t>
  </si>
  <si>
    <t xml:space="preserve">Dev task</t>
  </si>
  <si>
    <t xml:space="preserve">CVR-7</t>
  </si>
  <si>
    <t xml:space="preserve">No 80G tax-savings framing at the point of decision (80G = 50% deduction).</t>
  </si>
  <si>
    <t xml:space="preserve">Donors don't see the real net cost of giving</t>
  </si>
  <si>
    <t xml:space="preserve">Tax-benefit framing lifts conversion + average gift for Indian donors.</t>
  </si>
  <si>
    <t xml:space="preserve">Add an 80G savings line/calculator near the CTA.</t>
  </si>
  <si>
    <t xml:space="preserve">UX-1</t>
  </si>
  <si>
    <t xml:space="preserve">UX/UI</t>
  </si>
  <si>
    <t xml:space="preserve">Monthly tier descriptions aren't reframed for recurring (still read 'for 2 weeks' / 'for a month').</t>
  </si>
  <si>
    <t xml:space="preserve">Monthly toggle copy</t>
  </si>
  <si>
    <t xml:space="preserve">Monthly feels like a repeated one-off, not ongoing care</t>
  </si>
  <si>
    <t xml:space="preserve">Recurring framing lifts monthly conversion.</t>
  </si>
  <si>
    <t xml:space="preserve">Reframe monthly amounts as ongoing ('₹500/mo keeps one dog fed every day').</t>
  </si>
  <si>
    <t xml:space="preserve">Draft now (copy); dev deploys</t>
  </si>
  <si>
    <t xml:space="preserve">UX-2</t>
  </si>
  <si>
    <t xml:space="preserve">The Mundhra family + Tobler origin (a strong trust anchor) is under-leveraged.</t>
  </si>
  <si>
    <t xml:space="preserve">About, Home</t>
  </si>
  <si>
    <t xml:space="preserve">Real faces build trust; currently text-only</t>
  </si>
  <si>
    <t xml:space="preserve">Founder authenticity lifts conversion.</t>
  </si>
  <si>
    <t xml:space="preserve">Add a short founder video + family photo near the primary CTA.</t>
  </si>
  <si>
    <t xml:space="preserve">Partial — you record the video</t>
  </si>
  <si>
    <t xml:space="preserve">UX-3</t>
  </si>
  <si>
    <t xml:space="preserve">Volunteer journey is a bare contact form — no roles, locations, schedule, commitment, or onboarding.</t>
  </si>
  <si>
    <t xml:space="preserve">/other-ways-to-give</t>
  </si>
  <si>
    <t xml:space="preserve">Would-be volunteers don't know what they're signing up for</t>
  </si>
  <si>
    <t xml:space="preserve">Volunteers convert to donors + advocates; weak funnel loses both.</t>
  </si>
  <si>
    <t xml:space="preserve">Rebuild volunteer page (roles, Thane/Mumbai drive calendar, onboarding).</t>
  </si>
  <si>
    <t xml:space="preserve">UX-4</t>
  </si>
  <si>
    <t xml:space="preserve">Hindi version is 'coming soon' / incomplete.</t>
  </si>
  <si>
    <r>
      <rPr>
        <sz val="9.5"/>
        <rFont val="Calibri"/>
        <family val="0"/>
        <charset val="1"/>
      </rPr>
      <t xml:space="preserve">Footer '</t>
    </r>
    <r>
      <rPr>
        <sz val="9.5"/>
        <rFont val="DejaVu Sans"/>
        <family val="2"/>
      </rPr>
      <t xml:space="preserve">हिंदी </t>
    </r>
    <r>
      <rPr>
        <sz val="9.5"/>
        <rFont val="Calibri"/>
        <family val="0"/>
        <charset val="1"/>
      </rPr>
      <t xml:space="preserve">soon'</t>
    </r>
  </si>
  <si>
    <t xml:space="preserve">Hindi-first donors under-served</t>
  </si>
  <si>
    <t xml:space="preserve">Hindi expands reach + trust for a large audience.</t>
  </si>
  <si>
    <t xml:space="preserve">Complete Hindi localization for the core donor journey.</t>
  </si>
  <si>
    <t xml:space="preserve">Partial — needs translation</t>
  </si>
  <si>
    <t xml:space="preserve">RET-1</t>
  </si>
  <si>
    <t xml:space="preserve">Retention</t>
  </si>
  <si>
    <t xml:space="preserve">No productised post-gift journey (thank-you → receipt → first impact update).</t>
  </si>
  <si>
    <t xml:space="preserve">Donate; WhatsApp opt-in exists but unused for nurture</t>
  </si>
  <si>
    <t xml:space="preserve">Donors give once and hear nothing</t>
  </si>
  <si>
    <t xml:space="preserve">The first 30 days set retention; absence drives churn.</t>
  </si>
  <si>
    <t xml:space="preserve">Build the journey: instant thank-you + receipt, impact update &lt;48h, then monthly.</t>
  </si>
  <si>
    <t xml:space="preserve">Draft now; dev/ESP deploys</t>
  </si>
  <si>
    <t xml:space="preserve">RET-2</t>
  </si>
  <si>
    <t xml:space="preserve">No monthly impact update to recurring donors.</t>
  </si>
  <si>
    <t xml:space="preserve">Site/comms</t>
  </si>
  <si>
    <t xml:space="preserve">Monthly donors get no proof, so they lapse</t>
  </si>
  <si>
    <t xml:space="preserve">Retention is the #1 driver of recurring revenue; updates are the retention engine.</t>
  </si>
  <si>
    <t xml:space="preserve">Monthly photo + one rescue story via WhatsApp (existing opt-in) + email.</t>
  </si>
  <si>
    <t xml:space="preserve">Draft now; you/ESP send</t>
  </si>
  <si>
    <t xml:space="preserve">RET-3</t>
  </si>
  <si>
    <t xml:space="preserve">No 'pause instead of cancel' or annual upgrade ask (cancel-anytime exists).</t>
  </si>
  <si>
    <t xml:space="preserve">FAQ; donate</t>
  </si>
  <si>
    <t xml:space="preserve">Wavering donors only see 'cancel'</t>
  </si>
  <si>
    <t xml:space="preserve">Pause saves churn; annual upgrade grows existing donors cheaply.</t>
  </si>
  <si>
    <t xml:space="preserve">Add pause option + a once-a-year step-up ask.</t>
  </si>
  <si>
    <t xml:space="preserve">RET-4</t>
  </si>
  <si>
    <t xml:space="preserve">No lapsed-donor win-back program.</t>
  </si>
  <si>
    <t xml:space="preserve">Requires donor data</t>
  </si>
  <si>
    <t xml:space="preserve">Past donors who'd give again aren't re-engaged</t>
  </si>
  <si>
    <t xml:space="preserve">Win-back is high-ROI but unsizable until donor history is analysed.</t>
  </si>
  <si>
    <t xml:space="preserve">After the donor-data export (CI-1), build a win-back list + sequence.</t>
  </si>
  <si>
    <t xml:space="preserve">No — needs donor data export</t>
  </si>
  <si>
    <t xml:space="preserve">CI-1</t>
  </si>
  <si>
    <t xml:space="preserve">Customer Intelligence</t>
  </si>
  <si>
    <t xml:space="preserve">No donor-economics baseline (retention, recurring %, avg gift, frequency, LTV).</t>
  </si>
  <si>
    <t xml:space="preserve">No exports available; dashboard blocked</t>
  </si>
  <si>
    <t xml:space="preserve">Can't target the right donors with the right ask</t>
  </si>
  <si>
    <t xml:space="preserve">This measures the whole growth thesis; without it, revenue impacts stay estimates.</t>
  </si>
  <si>
    <t xml:space="preserve">Export Razorpay 24-mo payments + subscriptions; I'll run the full analysis.</t>
  </si>
  <si>
    <t xml:space="preserve">No — needs your export</t>
  </si>
  <si>
    <t xml:space="preserve">CI-2</t>
  </si>
  <si>
    <t xml:space="preserve">Some /media testimonials are team-affiliated (e.g. Ankit Palan is Core Management; the vet praises 'Brinda' = Brinda Palan, Core Management).</t>
  </si>
  <si>
    <t xml:space="preserve">Cross-ref /about + /media</t>
  </si>
  <si>
    <t xml:space="preserve">Sharp CSR diligence could read it as less independent</t>
  </si>
  <si>
    <t xml:space="preserve">Independent voices convert better and survive diligence.</t>
  </si>
  <si>
    <t xml:space="preserve">Lead with independent donor testimonials; label affiliated voices honestly.</t>
  </si>
  <si>
    <t xml:space="preserve">CI-3</t>
  </si>
  <si>
    <t xml:space="preserve">No web analytics access provided — traffic, sources, and funnel drop-off can't be verified.</t>
  </si>
  <si>
    <t xml:space="preserve">Not shared</t>
  </si>
  <si>
    <t xml:space="preserve">Requires access</t>
  </si>
  <si>
    <t xml:space="preserve">Can't see where donors drop off</t>
  </si>
  <si>
    <t xml:space="preserve">Funnel data would convert CRO guesses into sized opportunities.</t>
  </si>
  <si>
    <t xml:space="preserve">Share read access to GA4 / analytics; confirm analytics is even installed.</t>
  </si>
  <si>
    <t xml:space="preserve">No — needs analytics access</t>
  </si>
  <si>
    <t xml:space="preserve">CI-4</t>
  </si>
  <si>
    <t xml:space="preserve">Donor personas are built from the site, not quantified against real donor data.</t>
  </si>
  <si>
    <t xml:space="preserve">Persona work (audit workbook)</t>
  </si>
  <si>
    <t xml:space="preserve">PARTIALLY VERIFIED</t>
  </si>
  <si>
    <t xml:space="preserve">Segments are directional, not measured</t>
  </si>
  <si>
    <t xml:space="preserve">Quantified segments sharpen targeting + asks.</t>
  </si>
  <si>
    <t xml:space="preserve">Re-derive segments from the donor-data export.</t>
  </si>
  <si>
    <t xml:space="preserve">No — needs donor data</t>
  </si>
  <si>
    <t xml:space="preserve">TEC-1</t>
  </si>
  <si>
    <t xml:space="preserve">Technical</t>
  </si>
  <si>
    <t xml:space="preserve">Three Google font families load render-blocking from Google (Inter + DM Sans + Noto Sans Devanagari).</t>
  </si>
  <si>
    <t xml:space="preserve">Homepage network capture</t>
  </si>
  <si>
    <t xml:space="preserve">Verified in Browser (DevTools)</t>
  </si>
  <si>
    <t xml:space="preserve">Slower first paint, esp. on mobile/3G</t>
  </si>
  <si>
    <t xml:space="preserve">Faster load modestly lifts conversion.</t>
  </si>
  <si>
    <t xml:space="preserve">Consolidate to 1-2 families; self-host / preload; subset Devanagari.</t>
  </si>
  <si>
    <t xml:space="preserve">TEC-2</t>
  </si>
  <si>
    <t xml:space="preserve">Hero/section images served as raw .jpg rather than next-gen formats.</t>
  </si>
  <si>
    <t xml:space="preserve">Homepage network (dog/street/feed.jpg)</t>
  </si>
  <si>
    <t xml:space="preserve">Heavier images = slower load</t>
  </si>
  <si>
    <t xml:space="preserve">Image optimisation aids mobile conversion + SEO.</t>
  </si>
  <si>
    <t xml:space="preserve">Serve WebP/AVIF via Next.js Image; confirm sizes.</t>
  </si>
  <si>
    <t xml:space="preserve">TEC-3</t>
  </si>
  <si>
    <t xml:space="preserve">Security headers (HSTS/CSP/etc.) not verified.</t>
  </si>
  <si>
    <t xml:space="preserve">Not inspectable via current tools</t>
  </si>
  <si>
    <t xml:space="preserve">Requires header check</t>
  </si>
  <si>
    <t xml:space="preserve">Affects security posture / donor data safety</t>
  </si>
  <si>
    <t xml:space="preserve">Indirect (trust/compliance).</t>
  </si>
  <si>
    <t xml:space="preserve">Audit response headers; add HSTS + a sensible CSP.</t>
  </si>
  <si>
    <t xml:space="preserve">No — needs header check / dev</t>
  </si>
  <si>
    <t xml:space="preserve">TEC-4</t>
  </si>
  <si>
    <t xml:space="preserve">/admin, /prototype, /prototype-v2 paths exist (disallowed in robots.txt).</t>
  </si>
  <si>
    <t xml:space="preserve">robots.txt</t>
  </si>
  <si>
    <t xml:space="preserve">Risk if staging/admin is publicly reachable</t>
  </si>
  <si>
    <t xml:space="preserve">Indirect (security/reputation).</t>
  </si>
  <si>
    <t xml:space="preserve">Confirm these are access-controlled + noindex; don't expose staging. (Not probed by us.)</t>
  </si>
  <si>
    <t xml:space="preserve">No — you/dev verify</t>
  </si>
  <si>
    <t xml:space="preserve">TEC-5</t>
  </si>
  <si>
    <t xml:space="preserve">Site is a modern Next.js app; all homepage resources returned 200/304 with no console errors on load.</t>
  </si>
  <si>
    <t xml:space="preserve">Homepage network + console</t>
  </si>
  <si>
    <t xml:space="preserve">—</t>
  </si>
  <si>
    <t xml:space="preserve">Stable, fast-ish baseline</t>
  </si>
  <si>
    <t xml:space="preserve">Strength — keep. Solid technical foundation to build on.</t>
  </si>
  <si>
    <t xml:space="preserve">Strength — no action</t>
  </si>
  <si>
    <t xml:space="preserve">SEO-1</t>
  </si>
  <si>
    <t xml:space="preserve">SEO</t>
  </si>
  <si>
    <t xml:space="preserve">robots.txt present and correct, references the sitemap; sitemap.xml exists.</t>
  </si>
  <si>
    <t xml:space="preserve">robots.txt, sitemap.xml</t>
  </si>
  <si>
    <t xml:space="preserve">Crawlable</t>
  </si>
  <si>
    <t xml:space="preserve">Strength — keep.</t>
  </si>
  <si>
    <t xml:space="preserve">SEO-2</t>
  </si>
  <si>
    <t xml:space="preserve">Per-page meta titles, descriptions and Open Graph tags are present and well-written.</t>
  </si>
  <si>
    <t xml:space="preserve">All pages' meta</t>
  </si>
  <si>
    <t xml:space="preserve">Good share/snippet presentation</t>
  </si>
  <si>
    <t xml:space="preserve">SEO-3</t>
  </si>
  <si>
    <t xml:space="preserve">No city/cause landing pages; thin content limits organic acquisition.</t>
  </si>
  <si>
    <t xml:space="preserve">Site structure</t>
  </si>
  <si>
    <t xml:space="preserve">Donors searching 'animal rescue Thane/Mumbai' won't find RKM</t>
  </si>
  <si>
    <t xml:space="preserve">Organic is a low-cost acquisition channel left on the table.</t>
  </si>
  <si>
    <t xml:space="preserve">Build cause + city pages (Thane/Mumbai) targeting donor intent.</t>
  </si>
  <si>
    <t xml:space="preserve">SEO-4</t>
  </si>
  <si>
    <t xml:space="preserve">Structured data (JSON-LD Organization/NGO) not confirmed on pages.</t>
  </si>
  <si>
    <t xml:space="preserve">Not observed</t>
  </si>
  <si>
    <t xml:space="preserve">Requires source check</t>
  </si>
  <si>
    <t xml:space="preserve">Misses rich results</t>
  </si>
  <si>
    <t xml:space="preserve">Rich snippets aid organic CTR.</t>
  </si>
  <si>
    <t xml:space="preserve">Add Organization + relevant schema; validate in Rich Results Test.</t>
  </si>
  <si>
    <t xml:space="preserve">SEO-5</t>
  </si>
  <si>
    <t xml:space="preserve">Only one blog post (Tobler); no content cadence.</t>
  </si>
  <si>
    <t xml:space="preserve">/blog</t>
  </si>
  <si>
    <t xml:space="preserve">Little reason to return; no organic surface area</t>
  </si>
  <si>
    <t xml:space="preserve">Content compounds organic reach + donor warmth.</t>
  </si>
  <si>
    <t xml:space="preserve">Monthly rescue-story cadence; repurpose to social.</t>
  </si>
  <si>
    <t xml:space="preserve">Draft now; you publish</t>
  </si>
  <si>
    <t xml:space="preserve">ACC-1</t>
  </si>
  <si>
    <t xml:space="preserve">Accessibility</t>
  </si>
  <si>
    <t xml:space="preserve">Images carry descriptive alt text.</t>
  </si>
  <si>
    <t xml:space="preserve">DOM (alt attributes present)</t>
  </si>
  <si>
    <t xml:space="preserve">Screen-reader friendly imagery</t>
  </si>
  <si>
    <t xml:space="preserve">Strength — keep the practice.</t>
  </si>
  <si>
    <t xml:space="preserve">ACC-2</t>
  </si>
  <si>
    <t xml:space="preserve">Full WCAG 2.1 AA (keyboard, focus order, screen reader, touch targets) not audited.</t>
  </si>
  <si>
    <t xml:space="preserve">No a11y tooling run</t>
  </si>
  <si>
    <t xml:space="preserve">Requires tooling</t>
  </si>
  <si>
    <t xml:space="preserve">Possible barriers for disabled donors</t>
  </si>
  <si>
    <t xml:space="preserve">Accessibility widens the donor base + reduces legal risk.</t>
  </si>
  <si>
    <t xml:space="preserve">Run an axe / Lighthouse a11y audit on the donate flow; fix blockers.</t>
  </si>
  <si>
    <t xml:space="preserve">No — needs tooling/dev</t>
  </si>
  <si>
    <t xml:space="preserve">ACC-3</t>
  </si>
  <si>
    <t xml:space="preserve">Low-contrast light-grey body text observed (e.g. the faded sub-line on home/donate).</t>
  </si>
  <si>
    <t xml:space="preserve">Screenshots (home/donate)</t>
  </si>
  <si>
    <t xml:space="preserve">Harder to read for low-vision donors</t>
  </si>
  <si>
    <t xml:space="preserve">Readable copy aids conversion + a11y.</t>
  </si>
  <si>
    <t xml:space="preserve">Verify contrast ratios; darken body text to meet AA (4.5:1).</t>
  </si>
  <si>
    <t xml:space="preserve">Counts pull live from Master Findings. The goal: move HYPOTHESIS items to VERIFIED by getting the access/data below.</t>
  </si>
  <si>
    <t xml:space="preserve">Status</t>
  </si>
  <si>
    <t xml:space="preserve">Count</t>
  </si>
  <si>
    <t xml:space="preserve">What it means</t>
  </si>
  <si>
    <t xml:space="preserve">Confirmed against the live site, browser, DevTools, robots/sitemap, or competitor pages.</t>
  </si>
  <si>
    <t xml:space="preserve">Observed but not fully measured (e.g. image formats seen, sizes not profiled; contrast observed, not ratio-tested).</t>
  </si>
  <si>
    <t xml:space="preserve">Plausible but UNCONFIRMED — needs data/access we don't have (payment completion, donor exports, analytics, a11y tooling, headers).</t>
  </si>
  <si>
    <t xml:space="preserve">TOTAL FINDINGS</t>
  </si>
  <si>
    <t xml:space="preserve">To move HYPOTHESIS → VERIFIED, provide:</t>
  </si>
  <si>
    <t xml:space="preserve">• Run the ₹100 payment tests (CVR-2) — confirms completion, receipt, thank-you, ledger.</t>
  </si>
  <si>
    <t xml:space="preserve">• Razorpay dashboard config check (REV-1 root cause, webhooks, UPI Autopay).</t>
  </si>
  <si>
    <t xml:space="preserve">• Razorpay 24-month export (CI-1, CI-4, RET-4) — unlocks donor economics + win-back.</t>
  </si>
  <si>
    <t xml:space="preserve">• GA4 / analytics read access (CI-3) — funnel + traffic verification.</t>
  </si>
  <si>
    <t xml:space="preserve">• An axe/Lighthouse a11y run + a response-header check (ACC-2, TEC-3).</t>
  </si>
  <si>
    <t xml:space="preserve">Revenue Opportunities</t>
  </si>
  <si>
    <t xml:space="preserve">The findings that most directly grow donations, recurring giving and CSR.</t>
  </si>
  <si>
    <t xml:space="preserve">Validation</t>
  </si>
  <si>
    <t xml:space="preserve">UX-UI Improvements</t>
  </si>
  <si>
    <t xml:space="preserve">Experience &amp; messaging fixes on the donor-facing site.</t>
  </si>
  <si>
    <t xml:space="preserve">Conversion Improvements</t>
  </si>
  <si>
    <t xml:space="preserve">Removing friction and adding persuasion along the donate path.</t>
  </si>
  <si>
    <t xml:space="preserve">Retention Opportunities</t>
  </si>
  <si>
    <t xml:space="preserve">Keeping donors — especially recurring donors — giving.</t>
  </si>
  <si>
    <t xml:space="preserve">What we can and can't yet know about donors; the data to unlock it.</t>
  </si>
  <si>
    <t xml:space="preserve">Technical Improvements</t>
  </si>
  <si>
    <t xml:space="preserve">Performance, stability and security of the site.</t>
  </si>
  <si>
    <t xml:space="preserve">SEO Improvements</t>
  </si>
  <si>
    <t xml:space="preserve">Organic discoverability and content.</t>
  </si>
  <si>
    <t xml:space="preserve">Accessibility Improvements</t>
  </si>
  <si>
    <t xml:space="preserve">Making the site usable for all donors (and lower legal risk).</t>
  </si>
  <si>
    <t xml:space="preserve">Competitor Benchmarking</t>
  </si>
  <si>
    <t xml:space="preserve">World-class trust &amp; donation orgs. Practices marked 'Verified on site' were confirmed by fetching their live pages on 19 Jun 2026.</t>
  </si>
  <si>
    <t xml:space="preserve">Organization</t>
  </si>
  <si>
    <t xml:space="preserve">Verified practice</t>
  </si>
  <si>
    <t xml:space="preserve">Source</t>
  </si>
  <si>
    <t xml:space="preserve">The move for RKM</t>
  </si>
  <si>
    <t xml:space="preserve">charity: water</t>
  </si>
  <si>
    <t xml:space="preserve">Donate page leads with 'give with confidence' + the 100% model + a 'See Our Financials' link.</t>
  </si>
  <si>
    <t xml:space="preserve">Verified on site</t>
  </si>
  <si>
    <t xml:space="preserve">Publish audited financials + a clear 'where your money goes' model (REV-5).</t>
  </si>
  <si>
    <t xml:space="preserve">Four third-party rating badges on the page: Candid Platinum, Charity Navigator 4-star, CharityWatch, BBB.</t>
  </si>
  <si>
    <t xml:space="preserve">Get third-party validation + display badges (REV-7).</t>
  </si>
  <si>
    <t xml:space="preserve">'The Spring' — a named monthly giving community; plus $10,000+ project sponsorship + tribute/legacy/crypto.</t>
  </si>
  <si>
    <t xml:space="preserve">Launch the Guardian Circle club (REV-3) + a major-gift path (REV-4).</t>
  </si>
  <si>
    <t xml:space="preserve">give.do / GiveIndia</t>
  </si>
  <si>
    <t xml:space="preserve">Site leads with 'Give Monthly — sustained impact, regular updates, save tax, cancel anytime.'</t>
  </si>
  <si>
    <t xml:space="preserve">Default to monthly + the same reassurances (REV-2).</t>
  </si>
  <si>
    <t xml:space="preserve">Live real-time donation ticker ('Sonali just donated ₹501') + '1.6M+ donations · 4,000+ verified NGOs'.</t>
  </si>
  <si>
    <t xml:space="preserve">Add live social proof + a donor count on home/donate (CVR-3).</t>
  </si>
  <si>
    <t xml:space="preserve">'Verified NGO' trust model across the platform.</t>
  </si>
  <si>
    <t xml:space="preserve">List + get verified to borrow that trust (REV-7).</t>
  </si>
  <si>
    <t xml:space="preserve">Akshaya Patra</t>
  </si>
  <si>
    <t xml:space="preserve">Leads with large concrete impact numbers (meals served).</t>
  </si>
  <si>
    <t xml:space="preserve">Public knowledge</t>
  </si>
  <si>
    <t xml:space="preserve">Put live impact counters at the top of the homepage (see audit workbook).</t>
  </si>
  <si>
    <t xml:space="preserve">WWF / UNICEF</t>
  </si>
  <si>
    <t xml:space="preserve">Monthly giving as the default ask, wrapped in donor identity.</t>
  </si>
  <si>
    <t xml:space="preserve">Default monthly + club (REV-2/REV-3).</t>
  </si>
  <si>
    <t xml:space="preserve">ASPCA / Best Friends</t>
  </si>
  <si>
    <t xml:space="preserve">Specific emotional cases + a fixed easy monthly ask; membership model.</t>
  </si>
  <si>
    <t xml:space="preserve">Live cases (CVR-4) + membership identity (REV-3).</t>
  </si>
  <si>
    <t xml:space="preserve">Quick Wins</t>
  </si>
  <si>
    <t xml:space="preserve">Low-effort, high-value, low-risk — and draftable now without payment/data access.</t>
  </si>
  <si>
    <t xml:space="preserve">High Impact Initiatives</t>
  </si>
  <si>
    <t xml:space="preserve">The big bets — High business impact. These move donations and recurring revenue the most.</t>
  </si>
  <si>
    <t xml:space="preserve">Revenue Impact (assumptions)</t>
  </si>
  <si>
    <t xml:space="preserve">Execution Roadmap</t>
  </si>
  <si>
    <t xml:space="preserve">Sequenced so each phase enables the next: verify → prove → build the recurring engine → scale.</t>
  </si>
  <si>
    <t xml:space="preserve">Phase</t>
  </si>
  <si>
    <t xml:space="preserve">Focus</t>
  </si>
  <si>
    <t xml:space="preserve">Findings</t>
  </si>
  <si>
    <t xml:space="preserve">Outcome</t>
  </si>
  <si>
    <t xml:space="preserve">Phase 0 · Now (days)</t>
  </si>
  <si>
    <t xml:space="preserve">Verify before touching payments</t>
  </si>
  <si>
    <t xml:space="preserve">CVR-2, REV-1 (root cause), CVR-1; confirm TEC-4 access control</t>
  </si>
  <si>
    <t xml:space="preserve">Know exactly what's broken vs slow; safe to act on payments.</t>
  </si>
  <si>
    <t xml:space="preserve">Phase 1 · 30 days</t>
  </si>
  <si>
    <t xml:space="preserve">Prove it (content/trust, low risk)</t>
  </si>
  <si>
    <t xml:space="preserve">Impact counters, CVR-3 social proof, REV-5 financials, CVR-4 live cases, CI-2</t>
  </si>
  <si>
    <t xml:space="preserve">The promises become evidenced; conversion lifts.</t>
  </si>
  <si>
    <t xml:space="preserve">Phase 2 · 60 days</t>
  </si>
  <si>
    <t xml:space="preserve">Recurring engine</t>
  </si>
  <si>
    <t xml:space="preserve">REV-1 UPI Autopay, REV-2 default monthly, REV-3 Guardian Circle, RET-1/RET-2 nurture</t>
  </si>
  <si>
    <t xml:space="preserve">Monthly becomes payable, default, and sticky.</t>
  </si>
  <si>
    <t xml:space="preserve">Phase 3 · 90 days</t>
  </si>
  <si>
    <t xml:space="preserve">CSR + acquisition</t>
  </si>
  <si>
    <t xml:space="preserve">REV-6 CSR proof+deck, REV-4 major gifts, UX-3 volunteers, SEO-5 content</t>
  </si>
  <si>
    <t xml:space="preserve">Corporate + high-value + organic channels open.</t>
  </si>
  <si>
    <t xml:space="preserve">Phase 4 · 90+ days</t>
  </si>
  <si>
    <t xml:space="preserve">Scale + measure</t>
  </si>
  <si>
    <t xml:space="preserve">REV-7 listing/badges, CI-1 donor analysis, RET-4 win-back, SEO-3 city pages, TEC/ACC polish</t>
  </si>
  <si>
    <t xml:space="preserve">Brand reach + data-driven retention + win-back compound.</t>
  </si>
  <si>
    <t xml:space="preserve">Owner Decisions Required</t>
  </si>
  <si>
    <t xml:space="preserve">Items I cannot do from here (payments, data, financials, third parties, access). Your call / your hands.</t>
  </si>
  <si>
    <t xml:space="preserve">Why it needs you</t>
  </si>
  <si>
    <t xml:space="preserve">Risks &amp; Dependencies</t>
  </si>
  <si>
    <t xml:space="preserve">What could go wrong, and what each initiative depends on. Read before executing payment or data work.</t>
  </si>
  <si>
    <t xml:space="preserve">Item</t>
  </si>
  <si>
    <t xml:space="preserve">Type</t>
  </si>
  <si>
    <t xml:space="preserve">Detail / mitigation</t>
  </si>
  <si>
    <t xml:space="preserve">Payment-flow changes</t>
  </si>
  <si>
    <t xml:space="preserve">Any change to donate/checkout can disrupt LIVE donations. Mitigate: test in Razorpay test mode, run the ₹100 tests, deploy off-peak, keep a rollback. Never change blind.</t>
  </si>
  <si>
    <t xml:space="preserve">Enabling UPI Autopay</t>
  </si>
  <si>
    <t xml:space="preserve">Dependency</t>
  </si>
  <si>
    <t xml:space="preserve">May require the Subscriptions product + possibly Razorpay support to switch on e-mandate. UPI Autopay caps at ₹15,000/charge without extra auth (fine for donations).</t>
  </si>
  <si>
    <t xml:space="preserve">Guardian Circle club</t>
  </si>
  <si>
    <t xml:space="preserve">Depends on REV-1 (UPI Autopay live) — without UPI, most donors can't join. Sequence REV-1 first.</t>
  </si>
  <si>
    <t xml:space="preserve">Donor-data analysis (CI-1)</t>
  </si>
  <si>
    <t xml:space="preserve">Dependency + Privacy</t>
  </si>
  <si>
    <t xml:space="preserve">Depends on your Razorpay export. Donor emails are PII — share hashed/anonymised if preferred; data used only for the analysis, not retained.</t>
  </si>
  <si>
    <t xml:space="preserve">Publishing financials (REV-5)</t>
  </si>
  <si>
    <t xml:space="preserve">Needs CA-finalised statements + trustee approval (governance/legal). Plan lead time.</t>
  </si>
  <si>
    <t xml:space="preserve">Third-party listing (REV-7)</t>
  </si>
  <si>
    <t xml:space="preserve">GiveIndia/Give.do application + verification takes time; start early.</t>
  </si>
  <si>
    <t xml:space="preserve">Surfacing testimonials (CVR-3/CI-2)</t>
  </si>
  <si>
    <t xml:space="preserve">Get donor consent; don't present team-affiliated voices as independent — label honestly to survive CSR diligence.</t>
  </si>
  <si>
    <t xml:space="preserve">Staging/admin exposure (TEC-4)</t>
  </si>
  <si>
    <t xml:space="preserve">/prototype &amp; /admin exist (robots-disallowed). Confirm they're access-controlled + noindex; we did NOT probe them.</t>
  </si>
  <si>
    <t xml:space="preserve">Revenue estimates</t>
  </si>
  <si>
    <t xml:space="preserve">Assumption risk</t>
  </si>
  <si>
    <t xml:space="preserve">Revenue-impact figures are directional until donor data + analytics access exist (CI-1, CI-3). Treat as hypotheses to size, not commitments.</t>
  </si>
  <si>
    <t xml:space="preserve">No deploy/dashboard access</t>
  </si>
  <si>
    <t xml:space="preserve">Constraint</t>
  </si>
  <si>
    <t xml:space="preserve">I can analyse, draft and specify, but cannot deploy code, change Razorpay, or read the dashboard/analytics. Execution of those sits with you/your dev.</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</si>
</sst>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22"/>
      <color rgb="FF0B5853"/>
      <name val="Calibri"/>
      <family val="0"/>
      <charset val="1"/>
    </font>
    <font>
      <sz val="13"/>
      <color rgb="FF0F766E"/>
      <name val="Calibri"/>
      <family val="0"/>
      <charset val="1"/>
    </font>
    <font>
      <i val="true"/>
      <sz val="10"/>
      <color rgb="FF6B7280"/>
      <name val="Calibri"/>
      <family val="0"/>
      <charset val="1"/>
    </font>
    <font>
      <b val="true"/>
      <sz val="11"/>
      <color rgb="FF0B5853"/>
      <name val="Calibri"/>
      <family val="0"/>
      <charset val="1"/>
    </font>
    <font>
      <sz val="10.5"/>
      <name val="Calibri"/>
      <family val="0"/>
      <charset val="1"/>
    </font>
    <font>
      <b val="true"/>
      <sz val="18"/>
      <color rgb="FF0B5853"/>
      <name val="Calibri"/>
      <family val="0"/>
      <charset val="1"/>
    </font>
    <font>
      <b val="true"/>
      <sz val="10.5"/>
      <color rgb="FFFFFFFF"/>
      <name val="Calibri"/>
      <family val="0"/>
      <charset val="1"/>
    </font>
    <font>
      <b val="true"/>
      <sz val="9.5"/>
      <name val="Calibri"/>
      <family val="0"/>
      <charset val="1"/>
    </font>
    <font>
      <sz val="9.5"/>
      <name val="Calibri"/>
      <family val="0"/>
      <charset val="1"/>
    </font>
    <font>
      <sz val="9.5"/>
      <name val="DejaVu Sans"/>
      <family val="2"/>
    </font>
    <font>
      <b val="true"/>
      <sz val="11"/>
      <name val="Calibri"/>
      <family val="0"/>
      <charset val="1"/>
    </font>
    <font>
      <b val="true"/>
      <sz val="12"/>
      <name val="Calibri"/>
      <family val="0"/>
      <charset val="1"/>
    </font>
    <font>
      <b val="true"/>
      <sz val="10"/>
      <name val="Calibri"/>
      <family val="0"/>
      <charset val="1"/>
    </font>
    <font>
      <sz val="10"/>
      <name val="Calibri"/>
      <family val="0"/>
      <charset val="1"/>
    </font>
    <font>
      <b val="true"/>
      <sz val="10.5"/>
      <color rgb="FF0B5853"/>
      <name val="Calibri"/>
      <family val="0"/>
      <charset val="1"/>
    </font>
    <font>
      <b val="true"/>
      <sz val="10.5"/>
      <name val="Calibri"/>
      <family val="0"/>
      <charset val="1"/>
    </font>
  </fonts>
  <fills count="9">
    <fill>
      <patternFill patternType="none"/>
    </fill>
    <fill>
      <patternFill patternType="gray125"/>
    </fill>
    <fill>
      <patternFill patternType="solid">
        <fgColor rgb="FF0F766E"/>
        <bgColor rgb="FF008080"/>
      </patternFill>
    </fill>
    <fill>
      <patternFill patternType="solid">
        <fgColor rgb="FFDCFCE7"/>
        <bgColor rgb="FFEAF2F1"/>
      </patternFill>
    </fill>
    <fill>
      <patternFill patternType="solid">
        <fgColor rgb="FFFCE4E4"/>
        <bgColor rgb="FFFFF3D6"/>
      </patternFill>
    </fill>
    <fill>
      <patternFill patternType="solid">
        <fgColor rgb="FFFFF3D6"/>
        <bgColor rgb="FFFCE4E4"/>
      </patternFill>
    </fill>
    <fill>
      <patternFill patternType="solid">
        <fgColor rgb="FFE8F1FC"/>
        <bgColor rgb="FFEAF2F1"/>
      </patternFill>
    </fill>
    <fill>
      <patternFill patternType="solid">
        <fgColor rgb="FFEAF2F1"/>
        <bgColor rgb="FFE8F1FC"/>
      </patternFill>
    </fill>
    <fill>
      <patternFill patternType="solid">
        <fgColor rgb="FFB45309"/>
        <bgColor rgb="FF993366"/>
      </patternFill>
    </fill>
  </fills>
  <borders count="2">
    <border diagonalUp="false" diagonalDown="false">
      <left/>
      <right/>
      <top/>
      <bottom/>
      <diagonal/>
    </border>
    <border diagonalUp="false" diagonalDown="false">
      <left style="thin">
        <color rgb="FFD8D8D8"/>
      </left>
      <right style="thin">
        <color rgb="FFD8D8D8"/>
      </right>
      <top style="thin">
        <color rgb="FFD8D8D8"/>
      </top>
      <bottom style="thin">
        <color rgb="FFD8D8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5" fillId="6"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7" fillId="3"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true" indent="0" shrinkToFit="false"/>
      <protection locked="true" hidden="false"/>
    </xf>
    <xf numFmtId="164" fontId="16" fillId="5"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7" fillId="6"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6" fillId="7" borderId="1" xfId="0" applyFont="true" applyBorder="tru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E8F1FC"/>
          <bgColor rgb="FF000000"/>
        </patternFill>
      </fill>
    </dxf>
    <dxf>
      <fill>
        <patternFill patternType="solid">
          <fgColor rgb="FFFFF3D6"/>
          <bgColor rgb="FF000000"/>
        </patternFill>
      </fill>
    </dxf>
    <dxf>
      <fill>
        <patternFill patternType="solid">
          <fgColor rgb="FFEAF2F1"/>
          <bgColor rgb="FF000000"/>
        </patternFill>
      </fill>
    </dxf>
    <dxf>
      <fill>
        <patternFill patternType="solid">
          <fgColor rgb="FFFCE4E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3D6"/>
      <rgbColor rgb="FFDCFCE7"/>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8F1FC"/>
      <rgbColor rgb="FFEAF2F1"/>
      <rgbColor rgb="FFFFFF99"/>
      <rgbColor rgb="FF99CCFF"/>
      <rgbColor rgb="FFFF99CC"/>
      <rgbColor rgb="FFCC99FF"/>
      <rgbColor rgb="FFFCE4E4"/>
      <rgbColor rgb="FF3366FF"/>
      <rgbColor rgb="FF33CCCC"/>
      <rgbColor rgb="FF99CC00"/>
      <rgbColor rgb="FFFFCC00"/>
      <rgbColor rgb="FFFF9900"/>
      <rgbColor rgb="FFFF6600"/>
      <rgbColor rgb="FF6B7280"/>
      <rgbColor rgb="FF969696"/>
      <rgbColor rgb="FF0B5853"/>
      <rgbColor rgb="FF339966"/>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2"/>
  </cols>
  <sheetData>
    <row r="2" customFormat="false" ht="26.8" hidden="false" customHeight="false" outlineLevel="0" collapsed="false">
      <c r="B2" s="1" t="s">
        <v>0</v>
      </c>
    </row>
    <row r="3" customFormat="false" ht="16.15" hidden="false" customHeight="false" outlineLevel="0" collapsed="false">
      <c r="B3" s="2" t="s">
        <v>1</v>
      </c>
    </row>
    <row r="4" customFormat="false" ht="15" hidden="false" customHeight="false" outlineLevel="0" collapsed="false">
      <c r="B4" s="3" t="s">
        <v>2</v>
      </c>
    </row>
    <row r="6" customFormat="false" ht="78" hidden="false" customHeight="true" outlineLevel="0" collapsed="false">
      <c r="B6" s="4" t="s">
        <v>3</v>
      </c>
      <c r="C6" s="5" t="s">
        <v>4</v>
      </c>
    </row>
    <row r="7" customFormat="false" ht="78" hidden="false" customHeight="true" outlineLevel="0" collapsed="false">
      <c r="B7" s="4" t="s">
        <v>5</v>
      </c>
      <c r="C7" s="5" t="s">
        <v>6</v>
      </c>
    </row>
    <row r="8" customFormat="false" ht="78" hidden="false" customHeight="true" outlineLevel="0" collapsed="false">
      <c r="B8" s="4" t="s">
        <v>7</v>
      </c>
      <c r="C8" s="5" t="s">
        <v>8</v>
      </c>
    </row>
    <row r="9" customFormat="false" ht="78" hidden="false" customHeight="true" outlineLevel="0" collapsed="false">
      <c r="B9" s="4" t="s">
        <v>9</v>
      </c>
      <c r="C9" s="5" t="s">
        <v>10</v>
      </c>
    </row>
    <row r="10" customFormat="false" ht="78" hidden="false" customHeight="true" outlineLevel="0" collapsed="false">
      <c r="B10" s="4" t="s">
        <v>11</v>
      </c>
      <c r="C10" s="5"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34"/>
    <col collapsed="false" customWidth="true" hidden="false" outlineLevel="0" max="4" min="4" style="0" width="18"/>
    <col collapsed="false" customWidth="true" hidden="false" outlineLevel="0" max="5" min="5" style="0" width="16"/>
    <col collapsed="false" customWidth="true" hidden="false" outlineLevel="0" max="6" min="6" style="0" width="13"/>
    <col collapsed="false" customWidth="true" hidden="false" outlineLevel="0" max="7" min="7" style="0" width="9"/>
    <col collapsed="false" customWidth="true" hidden="false" outlineLevel="0" max="8" min="8" style="0" width="20"/>
    <col collapsed="false" customWidth="true" hidden="false" outlineLevel="0" max="9" min="9" style="0" width="30"/>
    <col collapsed="false" customWidth="true" hidden="false" outlineLevel="0" max="10" min="10" style="0" width="7"/>
    <col collapsed="false" customWidth="true" hidden="false" outlineLevel="0" max="11" min="11" style="0" width="6"/>
    <col collapsed="false" customWidth="true" hidden="false" outlineLevel="0" max="12" min="12" style="0" width="7"/>
    <col collapsed="false" customWidth="true" hidden="false" outlineLevel="0" max="13" min="13" style="0" width="34"/>
    <col collapsed="false" customWidth="true" hidden="false" outlineLevel="0" max="14" min="14" style="0" width="18"/>
  </cols>
  <sheetData>
    <row r="1" customFormat="false" ht="27.75" hidden="false" customHeight="true" outlineLevel="0" collapsed="false">
      <c r="A1" s="6" t="s">
        <v>13</v>
      </c>
      <c r="B1" s="6"/>
      <c r="C1" s="6"/>
      <c r="D1" s="6"/>
      <c r="E1" s="6"/>
      <c r="F1" s="6"/>
      <c r="G1" s="6"/>
      <c r="H1" s="6"/>
      <c r="I1" s="6"/>
      <c r="J1" s="6"/>
      <c r="K1" s="6"/>
      <c r="L1" s="6"/>
      <c r="M1" s="6"/>
      <c r="N1" s="6"/>
    </row>
    <row r="2" customFormat="false" ht="15.75" hidden="false" customHeight="true" outlineLevel="0" collapsed="false">
      <c r="A2" s="7" t="s">
        <v>14</v>
      </c>
      <c r="B2" s="7"/>
      <c r="C2" s="7"/>
      <c r="D2" s="7"/>
      <c r="E2" s="7"/>
      <c r="F2" s="7"/>
      <c r="G2" s="7"/>
      <c r="H2" s="7"/>
      <c r="I2" s="7"/>
      <c r="J2" s="7"/>
      <c r="K2" s="7"/>
      <c r="L2" s="7"/>
      <c r="M2" s="7"/>
      <c r="N2" s="7"/>
    </row>
    <row r="4" customFormat="false" ht="35.05" hidden="false" customHeight="false" outlineLevel="0" collapsed="false">
      <c r="A4" s="8" t="s">
        <v>15</v>
      </c>
      <c r="B4" s="8" t="s">
        <v>16</v>
      </c>
      <c r="C4" s="8" t="s">
        <v>17</v>
      </c>
      <c r="D4" s="8" t="s">
        <v>18</v>
      </c>
      <c r="E4" s="8" t="s">
        <v>19</v>
      </c>
      <c r="F4" s="8" t="s">
        <v>20</v>
      </c>
      <c r="G4" s="8" t="s">
        <v>21</v>
      </c>
      <c r="H4" s="8" t="s">
        <v>22</v>
      </c>
      <c r="I4" s="8" t="s">
        <v>23</v>
      </c>
      <c r="J4" s="8" t="s">
        <v>24</v>
      </c>
      <c r="K4" s="8" t="s">
        <v>25</v>
      </c>
      <c r="L4" s="8" t="s">
        <v>26</v>
      </c>
      <c r="M4" s="8" t="s">
        <v>27</v>
      </c>
      <c r="N4" s="8" t="s">
        <v>28</v>
      </c>
    </row>
    <row r="5" customFormat="false" ht="69.75" hidden="false" customHeight="true" outlineLevel="0" collapsed="false">
      <c r="A5" s="9" t="s">
        <v>29</v>
      </c>
      <c r="B5" s="10" t="s">
        <v>30</v>
      </c>
      <c r="C5" s="10" t="s">
        <v>31</v>
      </c>
      <c r="D5" s="10" t="s">
        <v>32</v>
      </c>
      <c r="E5" s="10" t="s">
        <v>33</v>
      </c>
      <c r="F5" s="11" t="s">
        <v>34</v>
      </c>
      <c r="G5" s="10" t="s">
        <v>35</v>
      </c>
      <c r="H5" s="10" t="s">
        <v>36</v>
      </c>
      <c r="I5" s="10" t="s">
        <v>37</v>
      </c>
      <c r="J5" s="12" t="s">
        <v>38</v>
      </c>
      <c r="K5" s="12" t="s">
        <v>39</v>
      </c>
      <c r="L5" s="13" t="s">
        <v>40</v>
      </c>
      <c r="M5" s="10" t="s">
        <v>41</v>
      </c>
      <c r="N5" s="10" t="s">
        <v>42</v>
      </c>
    </row>
    <row r="6" customFormat="false" ht="69.75" hidden="false" customHeight="true" outlineLevel="0" collapsed="false">
      <c r="A6" s="9" t="s">
        <v>43</v>
      </c>
      <c r="B6" s="10" t="s">
        <v>30</v>
      </c>
      <c r="C6" s="10" t="s">
        <v>44</v>
      </c>
      <c r="D6" s="10" t="s">
        <v>45</v>
      </c>
      <c r="E6" s="10" t="s">
        <v>33</v>
      </c>
      <c r="F6" s="11" t="s">
        <v>34</v>
      </c>
      <c r="G6" s="10" t="s">
        <v>35</v>
      </c>
      <c r="H6" s="10" t="s">
        <v>46</v>
      </c>
      <c r="I6" s="10" t="s">
        <v>47</v>
      </c>
      <c r="J6" s="12" t="s">
        <v>48</v>
      </c>
      <c r="K6" s="12" t="s">
        <v>38</v>
      </c>
      <c r="L6" s="13" t="s">
        <v>40</v>
      </c>
      <c r="M6" s="10" t="s">
        <v>49</v>
      </c>
      <c r="N6" s="10" t="s">
        <v>50</v>
      </c>
    </row>
    <row r="7" customFormat="false" ht="69.75" hidden="false" customHeight="true" outlineLevel="0" collapsed="false">
      <c r="A7" s="9" t="s">
        <v>51</v>
      </c>
      <c r="B7" s="10" t="s">
        <v>30</v>
      </c>
      <c r="C7" s="10" t="s">
        <v>52</v>
      </c>
      <c r="D7" s="10" t="s">
        <v>53</v>
      </c>
      <c r="E7" s="10" t="s">
        <v>54</v>
      </c>
      <c r="F7" s="11" t="s">
        <v>34</v>
      </c>
      <c r="G7" s="10" t="s">
        <v>35</v>
      </c>
      <c r="H7" s="10" t="s">
        <v>55</v>
      </c>
      <c r="I7" s="10" t="s">
        <v>56</v>
      </c>
      <c r="J7" s="12" t="s">
        <v>39</v>
      </c>
      <c r="K7" s="12" t="s">
        <v>48</v>
      </c>
      <c r="L7" s="14" t="s">
        <v>57</v>
      </c>
      <c r="M7" s="10" t="s">
        <v>58</v>
      </c>
      <c r="N7" s="10" t="s">
        <v>59</v>
      </c>
    </row>
    <row r="8" customFormat="false" ht="69.75" hidden="false" customHeight="true" outlineLevel="0" collapsed="false">
      <c r="A8" s="9" t="s">
        <v>60</v>
      </c>
      <c r="B8" s="10" t="s">
        <v>30</v>
      </c>
      <c r="C8" s="10" t="s">
        <v>61</v>
      </c>
      <c r="D8" s="10" t="s">
        <v>62</v>
      </c>
      <c r="E8" s="10" t="s">
        <v>54</v>
      </c>
      <c r="F8" s="11" t="s">
        <v>34</v>
      </c>
      <c r="G8" s="10" t="s">
        <v>63</v>
      </c>
      <c r="H8" s="10" t="s">
        <v>64</v>
      </c>
      <c r="I8" s="10" t="s">
        <v>65</v>
      </c>
      <c r="J8" s="12" t="s">
        <v>39</v>
      </c>
      <c r="K8" s="12" t="s">
        <v>48</v>
      </c>
      <c r="L8" s="15" t="s">
        <v>66</v>
      </c>
      <c r="M8" s="10" t="s">
        <v>67</v>
      </c>
      <c r="N8" s="10" t="s">
        <v>59</v>
      </c>
    </row>
    <row r="9" customFormat="false" ht="69.75" hidden="false" customHeight="true" outlineLevel="0" collapsed="false">
      <c r="A9" s="9" t="s">
        <v>68</v>
      </c>
      <c r="B9" s="10" t="s">
        <v>30</v>
      </c>
      <c r="C9" s="10" t="s">
        <v>69</v>
      </c>
      <c r="D9" s="10" t="s">
        <v>70</v>
      </c>
      <c r="E9" s="10" t="s">
        <v>54</v>
      </c>
      <c r="F9" s="11" t="s">
        <v>34</v>
      </c>
      <c r="G9" s="10" t="s">
        <v>35</v>
      </c>
      <c r="H9" s="10" t="s">
        <v>71</v>
      </c>
      <c r="I9" s="10" t="s">
        <v>72</v>
      </c>
      <c r="J9" s="12" t="s">
        <v>39</v>
      </c>
      <c r="K9" s="12" t="s">
        <v>48</v>
      </c>
      <c r="L9" s="13" t="s">
        <v>40</v>
      </c>
      <c r="M9" s="10" t="s">
        <v>73</v>
      </c>
      <c r="N9" s="10" t="s">
        <v>74</v>
      </c>
    </row>
    <row r="10" customFormat="false" ht="69.75" hidden="false" customHeight="true" outlineLevel="0" collapsed="false">
      <c r="A10" s="9" t="s">
        <v>75</v>
      </c>
      <c r="B10" s="10" t="s">
        <v>30</v>
      </c>
      <c r="C10" s="10" t="s">
        <v>76</v>
      </c>
      <c r="D10" s="10" t="s">
        <v>77</v>
      </c>
      <c r="E10" s="10" t="s">
        <v>54</v>
      </c>
      <c r="F10" s="11" t="s">
        <v>34</v>
      </c>
      <c r="G10" s="10" t="s">
        <v>35</v>
      </c>
      <c r="H10" s="10" t="s">
        <v>78</v>
      </c>
      <c r="I10" s="10" t="s">
        <v>79</v>
      </c>
      <c r="J10" s="12" t="s">
        <v>39</v>
      </c>
      <c r="K10" s="12" t="s">
        <v>48</v>
      </c>
      <c r="L10" s="14" t="s">
        <v>57</v>
      </c>
      <c r="M10" s="10" t="s">
        <v>80</v>
      </c>
      <c r="N10" s="10" t="s">
        <v>81</v>
      </c>
    </row>
    <row r="11" customFormat="false" ht="69.75" hidden="false" customHeight="true" outlineLevel="0" collapsed="false">
      <c r="A11" s="9" t="s">
        <v>82</v>
      </c>
      <c r="B11" s="10" t="s">
        <v>30</v>
      </c>
      <c r="C11" s="10" t="s">
        <v>83</v>
      </c>
      <c r="D11" s="10" t="s">
        <v>84</v>
      </c>
      <c r="E11" s="10" t="s">
        <v>85</v>
      </c>
      <c r="F11" s="11" t="s">
        <v>34</v>
      </c>
      <c r="G11" s="10" t="s">
        <v>63</v>
      </c>
      <c r="H11" s="10" t="s">
        <v>86</v>
      </c>
      <c r="I11" s="10" t="s">
        <v>87</v>
      </c>
      <c r="J11" s="12" t="s">
        <v>39</v>
      </c>
      <c r="K11" s="12" t="s">
        <v>48</v>
      </c>
      <c r="L11" s="15" t="s">
        <v>66</v>
      </c>
      <c r="M11" s="10" t="s">
        <v>88</v>
      </c>
      <c r="N11" s="10" t="s">
        <v>89</v>
      </c>
    </row>
    <row r="12" customFormat="false" ht="69.75" hidden="false" customHeight="true" outlineLevel="0" collapsed="false">
      <c r="A12" s="9" t="s">
        <v>90</v>
      </c>
      <c r="B12" s="10" t="s">
        <v>91</v>
      </c>
      <c r="C12" s="10" t="s">
        <v>92</v>
      </c>
      <c r="D12" s="10" t="s">
        <v>93</v>
      </c>
      <c r="E12" s="10" t="s">
        <v>33</v>
      </c>
      <c r="F12" s="11" t="s">
        <v>34</v>
      </c>
      <c r="G12" s="10" t="s">
        <v>35</v>
      </c>
      <c r="H12" s="10" t="s">
        <v>94</v>
      </c>
      <c r="I12" s="10" t="s">
        <v>95</v>
      </c>
      <c r="J12" s="12" t="s">
        <v>39</v>
      </c>
      <c r="K12" s="12" t="s">
        <v>39</v>
      </c>
      <c r="L12" s="13" t="s">
        <v>40</v>
      </c>
      <c r="M12" s="10" t="s">
        <v>96</v>
      </c>
      <c r="N12" s="10" t="s">
        <v>42</v>
      </c>
    </row>
    <row r="13" customFormat="false" ht="69.75" hidden="false" customHeight="true" outlineLevel="0" collapsed="false">
      <c r="A13" s="9" t="s">
        <v>97</v>
      </c>
      <c r="B13" s="10" t="s">
        <v>91</v>
      </c>
      <c r="C13" s="10" t="s">
        <v>98</v>
      </c>
      <c r="D13" s="10" t="s">
        <v>99</v>
      </c>
      <c r="E13" s="10" t="s">
        <v>100</v>
      </c>
      <c r="F13" s="16" t="s">
        <v>101</v>
      </c>
      <c r="G13" s="10" t="s">
        <v>102</v>
      </c>
      <c r="H13" s="10" t="s">
        <v>103</v>
      </c>
      <c r="I13" s="10" t="s">
        <v>104</v>
      </c>
      <c r="J13" s="12" t="s">
        <v>48</v>
      </c>
      <c r="K13" s="12" t="s">
        <v>48</v>
      </c>
      <c r="L13" s="13" t="s">
        <v>40</v>
      </c>
      <c r="M13" s="10" t="s">
        <v>105</v>
      </c>
      <c r="N13" s="10" t="s">
        <v>106</v>
      </c>
    </row>
    <row r="14" customFormat="false" ht="69.75" hidden="false" customHeight="true" outlineLevel="0" collapsed="false">
      <c r="A14" s="9" t="s">
        <v>107</v>
      </c>
      <c r="B14" s="10" t="s">
        <v>91</v>
      </c>
      <c r="C14" s="10" t="s">
        <v>108</v>
      </c>
      <c r="D14" s="10" t="s">
        <v>109</v>
      </c>
      <c r="E14" s="10" t="s">
        <v>54</v>
      </c>
      <c r="F14" s="11" t="s">
        <v>34</v>
      </c>
      <c r="G14" s="10" t="s">
        <v>35</v>
      </c>
      <c r="H14" s="10" t="s">
        <v>110</v>
      </c>
      <c r="I14" s="10" t="s">
        <v>111</v>
      </c>
      <c r="J14" s="12" t="s">
        <v>48</v>
      </c>
      <c r="K14" s="12" t="s">
        <v>48</v>
      </c>
      <c r="L14" s="13" t="s">
        <v>40</v>
      </c>
      <c r="M14" s="10" t="s">
        <v>112</v>
      </c>
      <c r="N14" s="10" t="s">
        <v>59</v>
      </c>
    </row>
    <row r="15" customFormat="false" ht="69.75" hidden="false" customHeight="true" outlineLevel="0" collapsed="false">
      <c r="A15" s="9" t="s">
        <v>113</v>
      </c>
      <c r="B15" s="10" t="s">
        <v>91</v>
      </c>
      <c r="C15" s="10" t="s">
        <v>114</v>
      </c>
      <c r="D15" s="10" t="s">
        <v>115</v>
      </c>
      <c r="E15" s="10" t="s">
        <v>85</v>
      </c>
      <c r="F15" s="11" t="s">
        <v>34</v>
      </c>
      <c r="G15" s="10" t="s">
        <v>35</v>
      </c>
      <c r="H15" s="10" t="s">
        <v>116</v>
      </c>
      <c r="I15" s="10" t="s">
        <v>117</v>
      </c>
      <c r="J15" s="12" t="s">
        <v>39</v>
      </c>
      <c r="K15" s="12" t="s">
        <v>48</v>
      </c>
      <c r="L15" s="14" t="s">
        <v>57</v>
      </c>
      <c r="M15" s="10" t="s">
        <v>118</v>
      </c>
      <c r="N15" s="10" t="s">
        <v>119</v>
      </c>
    </row>
    <row r="16" customFormat="false" ht="69.75" hidden="false" customHeight="true" outlineLevel="0" collapsed="false">
      <c r="A16" s="9" t="s">
        <v>120</v>
      </c>
      <c r="B16" s="10" t="s">
        <v>91</v>
      </c>
      <c r="C16" s="10" t="s">
        <v>121</v>
      </c>
      <c r="D16" s="10" t="s">
        <v>122</v>
      </c>
      <c r="E16" s="10" t="s">
        <v>54</v>
      </c>
      <c r="F16" s="11" t="s">
        <v>34</v>
      </c>
      <c r="G16" s="10" t="s">
        <v>39</v>
      </c>
      <c r="H16" s="10" t="s">
        <v>123</v>
      </c>
      <c r="I16" s="10" t="s">
        <v>124</v>
      </c>
      <c r="J16" s="12" t="s">
        <v>48</v>
      </c>
      <c r="K16" s="12" t="s">
        <v>48</v>
      </c>
      <c r="L16" s="15" t="s">
        <v>66</v>
      </c>
      <c r="M16" s="10" t="s">
        <v>125</v>
      </c>
      <c r="N16" s="10" t="s">
        <v>126</v>
      </c>
    </row>
    <row r="17" customFormat="false" ht="69.75" hidden="false" customHeight="true" outlineLevel="0" collapsed="false">
      <c r="A17" s="9" t="s">
        <v>127</v>
      </c>
      <c r="B17" s="10" t="s">
        <v>91</v>
      </c>
      <c r="C17" s="10" t="s">
        <v>128</v>
      </c>
      <c r="D17" s="10" t="s">
        <v>129</v>
      </c>
      <c r="E17" s="10" t="s">
        <v>33</v>
      </c>
      <c r="F17" s="11" t="s">
        <v>34</v>
      </c>
      <c r="G17" s="10" t="s">
        <v>38</v>
      </c>
      <c r="H17" s="10" t="s">
        <v>130</v>
      </c>
      <c r="I17" s="10" t="s">
        <v>131</v>
      </c>
      <c r="J17" s="12" t="s">
        <v>48</v>
      </c>
      <c r="K17" s="12" t="s">
        <v>48</v>
      </c>
      <c r="L17" s="15" t="s">
        <v>66</v>
      </c>
      <c r="M17" s="10" t="s">
        <v>132</v>
      </c>
      <c r="N17" s="10" t="s">
        <v>133</v>
      </c>
    </row>
    <row r="18" customFormat="false" ht="69.75" hidden="false" customHeight="true" outlineLevel="0" collapsed="false">
      <c r="A18" s="9" t="s">
        <v>134</v>
      </c>
      <c r="B18" s="10" t="s">
        <v>91</v>
      </c>
      <c r="C18" s="10" t="s">
        <v>135</v>
      </c>
      <c r="D18" s="10" t="s">
        <v>62</v>
      </c>
      <c r="E18" s="10" t="s">
        <v>54</v>
      </c>
      <c r="F18" s="11" t="s">
        <v>34</v>
      </c>
      <c r="G18" s="10" t="s">
        <v>39</v>
      </c>
      <c r="H18" s="10" t="s">
        <v>136</v>
      </c>
      <c r="I18" s="10" t="s">
        <v>137</v>
      </c>
      <c r="J18" s="12" t="s">
        <v>48</v>
      </c>
      <c r="K18" s="12" t="s">
        <v>48</v>
      </c>
      <c r="L18" s="15" t="s">
        <v>66</v>
      </c>
      <c r="M18" s="10" t="s">
        <v>138</v>
      </c>
      <c r="N18" s="10" t="s">
        <v>59</v>
      </c>
    </row>
    <row r="19" customFormat="false" ht="69.75" hidden="false" customHeight="true" outlineLevel="0" collapsed="false">
      <c r="A19" s="9" t="s">
        <v>139</v>
      </c>
      <c r="B19" s="10" t="s">
        <v>140</v>
      </c>
      <c r="C19" s="10" t="s">
        <v>141</v>
      </c>
      <c r="D19" s="10" t="s">
        <v>142</v>
      </c>
      <c r="E19" s="10" t="s">
        <v>33</v>
      </c>
      <c r="F19" s="11" t="s">
        <v>34</v>
      </c>
      <c r="G19" s="10" t="s">
        <v>39</v>
      </c>
      <c r="H19" s="10" t="s">
        <v>143</v>
      </c>
      <c r="I19" s="10" t="s">
        <v>144</v>
      </c>
      <c r="J19" s="12" t="s">
        <v>48</v>
      </c>
      <c r="K19" s="12" t="s">
        <v>48</v>
      </c>
      <c r="L19" s="14" t="s">
        <v>57</v>
      </c>
      <c r="M19" s="10" t="s">
        <v>145</v>
      </c>
      <c r="N19" s="10" t="s">
        <v>146</v>
      </c>
    </row>
    <row r="20" customFormat="false" ht="69.75" hidden="false" customHeight="true" outlineLevel="0" collapsed="false">
      <c r="A20" s="9" t="s">
        <v>147</v>
      </c>
      <c r="B20" s="10" t="s">
        <v>140</v>
      </c>
      <c r="C20" s="10" t="s">
        <v>148</v>
      </c>
      <c r="D20" s="10" t="s">
        <v>149</v>
      </c>
      <c r="E20" s="10" t="s">
        <v>54</v>
      </c>
      <c r="F20" s="11" t="s">
        <v>34</v>
      </c>
      <c r="G20" s="10" t="s">
        <v>39</v>
      </c>
      <c r="H20" s="10" t="s">
        <v>150</v>
      </c>
      <c r="I20" s="10" t="s">
        <v>151</v>
      </c>
      <c r="J20" s="12" t="s">
        <v>39</v>
      </c>
      <c r="K20" s="12" t="s">
        <v>48</v>
      </c>
      <c r="L20" s="15" t="s">
        <v>66</v>
      </c>
      <c r="M20" s="10" t="s">
        <v>152</v>
      </c>
      <c r="N20" s="10" t="s">
        <v>153</v>
      </c>
    </row>
    <row r="21" customFormat="false" ht="69.75" hidden="false" customHeight="true" outlineLevel="0" collapsed="false">
      <c r="A21" s="9" t="s">
        <v>154</v>
      </c>
      <c r="B21" s="10" t="s">
        <v>140</v>
      </c>
      <c r="C21" s="10" t="s">
        <v>155</v>
      </c>
      <c r="D21" s="10" t="s">
        <v>156</v>
      </c>
      <c r="E21" s="10" t="s">
        <v>54</v>
      </c>
      <c r="F21" s="11" t="s">
        <v>34</v>
      </c>
      <c r="G21" s="10" t="s">
        <v>39</v>
      </c>
      <c r="H21" s="10" t="s">
        <v>157</v>
      </c>
      <c r="I21" s="10" t="s">
        <v>158</v>
      </c>
      <c r="J21" s="12" t="s">
        <v>39</v>
      </c>
      <c r="K21" s="12" t="s">
        <v>48</v>
      </c>
      <c r="L21" s="14" t="s">
        <v>57</v>
      </c>
      <c r="M21" s="10" t="s">
        <v>159</v>
      </c>
      <c r="N21" s="10" t="s">
        <v>59</v>
      </c>
    </row>
    <row r="22" customFormat="false" ht="69.75" hidden="false" customHeight="true" outlineLevel="0" collapsed="false">
      <c r="A22" s="9" t="s">
        <v>160</v>
      </c>
      <c r="B22" s="10" t="s">
        <v>140</v>
      </c>
      <c r="C22" s="10" t="s">
        <v>161</v>
      </c>
      <c r="D22" s="10" t="s">
        <v>162</v>
      </c>
      <c r="E22" s="10" t="s">
        <v>54</v>
      </c>
      <c r="F22" s="11" t="s">
        <v>34</v>
      </c>
      <c r="G22" s="10" t="s">
        <v>39</v>
      </c>
      <c r="H22" s="10" t="s">
        <v>163</v>
      </c>
      <c r="I22" s="10" t="s">
        <v>164</v>
      </c>
      <c r="J22" s="12" t="s">
        <v>39</v>
      </c>
      <c r="K22" s="12" t="s">
        <v>48</v>
      </c>
      <c r="L22" s="15" t="s">
        <v>66</v>
      </c>
      <c r="M22" s="10" t="s">
        <v>165</v>
      </c>
      <c r="N22" s="10" t="s">
        <v>166</v>
      </c>
    </row>
    <row r="23" customFormat="false" ht="69.75" hidden="false" customHeight="true" outlineLevel="0" collapsed="false">
      <c r="A23" s="9" t="s">
        <v>167</v>
      </c>
      <c r="B23" s="10" t="s">
        <v>168</v>
      </c>
      <c r="C23" s="10" t="s">
        <v>169</v>
      </c>
      <c r="D23" s="10" t="s">
        <v>170</v>
      </c>
      <c r="E23" s="10" t="s">
        <v>54</v>
      </c>
      <c r="F23" s="11" t="s">
        <v>34</v>
      </c>
      <c r="G23" s="10" t="s">
        <v>35</v>
      </c>
      <c r="H23" s="10" t="s">
        <v>171</v>
      </c>
      <c r="I23" s="10" t="s">
        <v>172</v>
      </c>
      <c r="J23" s="12" t="s">
        <v>39</v>
      </c>
      <c r="K23" s="12" t="s">
        <v>48</v>
      </c>
      <c r="L23" s="14" t="s">
        <v>57</v>
      </c>
      <c r="M23" s="10" t="s">
        <v>173</v>
      </c>
      <c r="N23" s="10" t="s">
        <v>174</v>
      </c>
    </row>
    <row r="24" customFormat="false" ht="69.75" hidden="false" customHeight="true" outlineLevel="0" collapsed="false">
      <c r="A24" s="9" t="s">
        <v>175</v>
      </c>
      <c r="B24" s="10" t="s">
        <v>168</v>
      </c>
      <c r="C24" s="10" t="s">
        <v>176</v>
      </c>
      <c r="D24" s="10" t="s">
        <v>177</v>
      </c>
      <c r="E24" s="10" t="s">
        <v>54</v>
      </c>
      <c r="F24" s="11" t="s">
        <v>34</v>
      </c>
      <c r="G24" s="10" t="s">
        <v>35</v>
      </c>
      <c r="H24" s="10" t="s">
        <v>178</v>
      </c>
      <c r="I24" s="10" t="s">
        <v>179</v>
      </c>
      <c r="J24" s="12" t="s">
        <v>39</v>
      </c>
      <c r="K24" s="12" t="s">
        <v>48</v>
      </c>
      <c r="L24" s="14" t="s">
        <v>57</v>
      </c>
      <c r="M24" s="10" t="s">
        <v>180</v>
      </c>
      <c r="N24" s="10" t="s">
        <v>181</v>
      </c>
    </row>
    <row r="25" customFormat="false" ht="69.75" hidden="false" customHeight="true" outlineLevel="0" collapsed="false">
      <c r="A25" s="9" t="s">
        <v>182</v>
      </c>
      <c r="B25" s="10" t="s">
        <v>168</v>
      </c>
      <c r="C25" s="10" t="s">
        <v>183</v>
      </c>
      <c r="D25" s="10" t="s">
        <v>184</v>
      </c>
      <c r="E25" s="10" t="s">
        <v>54</v>
      </c>
      <c r="F25" s="11" t="s">
        <v>34</v>
      </c>
      <c r="G25" s="10" t="s">
        <v>39</v>
      </c>
      <c r="H25" s="10" t="s">
        <v>185</v>
      </c>
      <c r="I25" s="10" t="s">
        <v>186</v>
      </c>
      <c r="J25" s="12" t="s">
        <v>38</v>
      </c>
      <c r="K25" s="12" t="s">
        <v>48</v>
      </c>
      <c r="L25" s="15" t="s">
        <v>66</v>
      </c>
      <c r="M25" s="10" t="s">
        <v>187</v>
      </c>
      <c r="N25" s="10" t="s">
        <v>59</v>
      </c>
    </row>
    <row r="26" customFormat="false" ht="69.75" hidden="false" customHeight="true" outlineLevel="0" collapsed="false">
      <c r="A26" s="9" t="s">
        <v>188</v>
      </c>
      <c r="B26" s="10" t="s">
        <v>168</v>
      </c>
      <c r="C26" s="10" t="s">
        <v>189</v>
      </c>
      <c r="D26" s="10" t="s">
        <v>190</v>
      </c>
      <c r="E26" s="10" t="s">
        <v>190</v>
      </c>
      <c r="F26" s="16" t="s">
        <v>101</v>
      </c>
      <c r="G26" s="10" t="s">
        <v>35</v>
      </c>
      <c r="H26" s="10" t="s">
        <v>191</v>
      </c>
      <c r="I26" s="10" t="s">
        <v>192</v>
      </c>
      <c r="J26" s="12" t="s">
        <v>39</v>
      </c>
      <c r="K26" s="12" t="s">
        <v>48</v>
      </c>
      <c r="L26" s="14" t="s">
        <v>57</v>
      </c>
      <c r="M26" s="10" t="s">
        <v>193</v>
      </c>
      <c r="N26" s="10" t="s">
        <v>194</v>
      </c>
    </row>
    <row r="27" customFormat="false" ht="69.75" hidden="false" customHeight="true" outlineLevel="0" collapsed="false">
      <c r="A27" s="9" t="s">
        <v>195</v>
      </c>
      <c r="B27" s="10" t="s">
        <v>196</v>
      </c>
      <c r="C27" s="10" t="s">
        <v>197</v>
      </c>
      <c r="D27" s="10" t="s">
        <v>198</v>
      </c>
      <c r="E27" s="10" t="s">
        <v>190</v>
      </c>
      <c r="F27" s="16" t="s">
        <v>101</v>
      </c>
      <c r="G27" s="10" t="s">
        <v>35</v>
      </c>
      <c r="H27" s="10" t="s">
        <v>199</v>
      </c>
      <c r="I27" s="10" t="s">
        <v>200</v>
      </c>
      <c r="J27" s="12" t="s">
        <v>39</v>
      </c>
      <c r="K27" s="12" t="s">
        <v>48</v>
      </c>
      <c r="L27" s="14" t="s">
        <v>57</v>
      </c>
      <c r="M27" s="10" t="s">
        <v>201</v>
      </c>
      <c r="N27" s="10" t="s">
        <v>202</v>
      </c>
    </row>
    <row r="28" customFormat="false" ht="69.75" hidden="false" customHeight="true" outlineLevel="0" collapsed="false">
      <c r="A28" s="9" t="s">
        <v>203</v>
      </c>
      <c r="B28" s="10" t="s">
        <v>196</v>
      </c>
      <c r="C28" s="10" t="s">
        <v>204</v>
      </c>
      <c r="D28" s="10" t="s">
        <v>205</v>
      </c>
      <c r="E28" s="10" t="s">
        <v>54</v>
      </c>
      <c r="F28" s="11" t="s">
        <v>34</v>
      </c>
      <c r="G28" s="10" t="s">
        <v>39</v>
      </c>
      <c r="H28" s="10" t="s">
        <v>206</v>
      </c>
      <c r="I28" s="10" t="s">
        <v>207</v>
      </c>
      <c r="J28" s="12" t="s">
        <v>48</v>
      </c>
      <c r="K28" s="12" t="s">
        <v>48</v>
      </c>
      <c r="L28" s="14" t="s">
        <v>57</v>
      </c>
      <c r="M28" s="10" t="s">
        <v>208</v>
      </c>
      <c r="N28" s="10" t="s">
        <v>59</v>
      </c>
    </row>
    <row r="29" customFormat="false" ht="69.75" hidden="false" customHeight="true" outlineLevel="0" collapsed="false">
      <c r="A29" s="9" t="s">
        <v>209</v>
      </c>
      <c r="B29" s="10" t="s">
        <v>196</v>
      </c>
      <c r="C29" s="10" t="s">
        <v>210</v>
      </c>
      <c r="D29" s="10" t="s">
        <v>211</v>
      </c>
      <c r="E29" s="10" t="s">
        <v>212</v>
      </c>
      <c r="F29" s="16" t="s">
        <v>101</v>
      </c>
      <c r="G29" s="10" t="s">
        <v>39</v>
      </c>
      <c r="H29" s="10" t="s">
        <v>213</v>
      </c>
      <c r="I29" s="10" t="s">
        <v>214</v>
      </c>
      <c r="J29" s="12" t="s">
        <v>48</v>
      </c>
      <c r="K29" s="12" t="s">
        <v>48</v>
      </c>
      <c r="L29" s="15" t="s">
        <v>66</v>
      </c>
      <c r="M29" s="10" t="s">
        <v>215</v>
      </c>
      <c r="N29" s="10" t="s">
        <v>216</v>
      </c>
    </row>
    <row r="30" customFormat="false" ht="69.75" hidden="false" customHeight="true" outlineLevel="0" collapsed="false">
      <c r="A30" s="9" t="s">
        <v>217</v>
      </c>
      <c r="B30" s="10" t="s">
        <v>196</v>
      </c>
      <c r="C30" s="10" t="s">
        <v>218</v>
      </c>
      <c r="D30" s="10" t="s">
        <v>219</v>
      </c>
      <c r="E30" s="10" t="s">
        <v>54</v>
      </c>
      <c r="F30" s="17" t="s">
        <v>220</v>
      </c>
      <c r="G30" s="10" t="s">
        <v>39</v>
      </c>
      <c r="H30" s="10" t="s">
        <v>221</v>
      </c>
      <c r="I30" s="10" t="s">
        <v>222</v>
      </c>
      <c r="J30" s="12" t="s">
        <v>39</v>
      </c>
      <c r="K30" s="12" t="s">
        <v>48</v>
      </c>
      <c r="L30" s="15" t="s">
        <v>66</v>
      </c>
      <c r="M30" s="10" t="s">
        <v>223</v>
      </c>
      <c r="N30" s="10" t="s">
        <v>224</v>
      </c>
    </row>
    <row r="31" customFormat="false" ht="69.75" hidden="false" customHeight="true" outlineLevel="0" collapsed="false">
      <c r="A31" s="9" t="s">
        <v>225</v>
      </c>
      <c r="B31" s="10" t="s">
        <v>226</v>
      </c>
      <c r="C31" s="10" t="s">
        <v>227</v>
      </c>
      <c r="D31" s="10" t="s">
        <v>228</v>
      </c>
      <c r="E31" s="10" t="s">
        <v>229</v>
      </c>
      <c r="F31" s="11" t="s">
        <v>34</v>
      </c>
      <c r="G31" s="10" t="s">
        <v>38</v>
      </c>
      <c r="H31" s="10" t="s">
        <v>230</v>
      </c>
      <c r="I31" s="10" t="s">
        <v>231</v>
      </c>
      <c r="J31" s="12" t="s">
        <v>48</v>
      </c>
      <c r="K31" s="12" t="s">
        <v>48</v>
      </c>
      <c r="L31" s="15" t="s">
        <v>66</v>
      </c>
      <c r="M31" s="10" t="s">
        <v>232</v>
      </c>
      <c r="N31" s="10" t="s">
        <v>133</v>
      </c>
    </row>
    <row r="32" customFormat="false" ht="69.75" hidden="false" customHeight="true" outlineLevel="0" collapsed="false">
      <c r="A32" s="9" t="s">
        <v>233</v>
      </c>
      <c r="B32" s="10" t="s">
        <v>226</v>
      </c>
      <c r="C32" s="10" t="s">
        <v>234</v>
      </c>
      <c r="D32" s="10" t="s">
        <v>235</v>
      </c>
      <c r="E32" s="10" t="s">
        <v>229</v>
      </c>
      <c r="F32" s="17" t="s">
        <v>220</v>
      </c>
      <c r="G32" s="10" t="s">
        <v>38</v>
      </c>
      <c r="H32" s="10" t="s">
        <v>236</v>
      </c>
      <c r="I32" s="10" t="s">
        <v>237</v>
      </c>
      <c r="J32" s="12" t="s">
        <v>48</v>
      </c>
      <c r="K32" s="12" t="s">
        <v>48</v>
      </c>
      <c r="L32" s="15" t="s">
        <v>66</v>
      </c>
      <c r="M32" s="10" t="s">
        <v>238</v>
      </c>
      <c r="N32" s="10" t="s">
        <v>133</v>
      </c>
    </row>
    <row r="33" customFormat="false" ht="69.75" hidden="false" customHeight="true" outlineLevel="0" collapsed="false">
      <c r="A33" s="9" t="s">
        <v>239</v>
      </c>
      <c r="B33" s="10" t="s">
        <v>226</v>
      </c>
      <c r="C33" s="10" t="s">
        <v>240</v>
      </c>
      <c r="D33" s="10" t="s">
        <v>241</v>
      </c>
      <c r="E33" s="10" t="s">
        <v>242</v>
      </c>
      <c r="F33" s="16" t="s">
        <v>101</v>
      </c>
      <c r="G33" s="10" t="s">
        <v>39</v>
      </c>
      <c r="H33" s="10" t="s">
        <v>243</v>
      </c>
      <c r="I33" s="10" t="s">
        <v>244</v>
      </c>
      <c r="J33" s="12" t="s">
        <v>48</v>
      </c>
      <c r="K33" s="12" t="s">
        <v>48</v>
      </c>
      <c r="L33" s="15" t="s">
        <v>66</v>
      </c>
      <c r="M33" s="10" t="s">
        <v>245</v>
      </c>
      <c r="N33" s="10" t="s">
        <v>246</v>
      </c>
    </row>
    <row r="34" customFormat="false" ht="69.75" hidden="false" customHeight="true" outlineLevel="0" collapsed="false">
      <c r="A34" s="9" t="s">
        <v>247</v>
      </c>
      <c r="B34" s="10" t="s">
        <v>226</v>
      </c>
      <c r="C34" s="10" t="s">
        <v>248</v>
      </c>
      <c r="D34" s="10" t="s">
        <v>249</v>
      </c>
      <c r="E34" s="10" t="s">
        <v>54</v>
      </c>
      <c r="F34" s="17" t="s">
        <v>220</v>
      </c>
      <c r="G34" s="10" t="s">
        <v>39</v>
      </c>
      <c r="H34" s="10" t="s">
        <v>250</v>
      </c>
      <c r="I34" s="10" t="s">
        <v>251</v>
      </c>
      <c r="J34" s="12" t="s">
        <v>48</v>
      </c>
      <c r="K34" s="12" t="s">
        <v>48</v>
      </c>
      <c r="L34" s="14" t="s">
        <v>57</v>
      </c>
      <c r="M34" s="10" t="s">
        <v>252</v>
      </c>
      <c r="N34" s="10" t="s">
        <v>253</v>
      </c>
    </row>
    <row r="35" customFormat="false" ht="69.75" hidden="false" customHeight="true" outlineLevel="0" collapsed="false">
      <c r="A35" s="9" t="s">
        <v>254</v>
      </c>
      <c r="B35" s="10" t="s">
        <v>226</v>
      </c>
      <c r="C35" s="10" t="s">
        <v>255</v>
      </c>
      <c r="D35" s="10" t="s">
        <v>256</v>
      </c>
      <c r="E35" s="10" t="s">
        <v>229</v>
      </c>
      <c r="F35" s="11" t="s">
        <v>34</v>
      </c>
      <c r="G35" s="10" t="s">
        <v>257</v>
      </c>
      <c r="H35" s="10" t="s">
        <v>258</v>
      </c>
      <c r="I35" s="10" t="s">
        <v>257</v>
      </c>
      <c r="J35" s="12" t="s">
        <v>257</v>
      </c>
      <c r="K35" s="12" t="s">
        <v>257</v>
      </c>
      <c r="L35" s="18" t="s">
        <v>257</v>
      </c>
      <c r="M35" s="10" t="s">
        <v>259</v>
      </c>
      <c r="N35" s="10" t="s">
        <v>260</v>
      </c>
    </row>
    <row r="36" customFormat="false" ht="69.75" hidden="false" customHeight="true" outlineLevel="0" collapsed="false">
      <c r="A36" s="9" t="s">
        <v>261</v>
      </c>
      <c r="B36" s="10" t="s">
        <v>262</v>
      </c>
      <c r="C36" s="10" t="s">
        <v>263</v>
      </c>
      <c r="D36" s="10" t="s">
        <v>264</v>
      </c>
      <c r="E36" s="10" t="s">
        <v>54</v>
      </c>
      <c r="F36" s="11" t="s">
        <v>34</v>
      </c>
      <c r="G36" s="10" t="s">
        <v>257</v>
      </c>
      <c r="H36" s="10" t="s">
        <v>265</v>
      </c>
      <c r="I36" s="10" t="s">
        <v>257</v>
      </c>
      <c r="J36" s="12" t="s">
        <v>257</v>
      </c>
      <c r="K36" s="12" t="s">
        <v>257</v>
      </c>
      <c r="L36" s="18" t="s">
        <v>257</v>
      </c>
      <c r="M36" s="10" t="s">
        <v>266</v>
      </c>
      <c r="N36" s="10" t="s">
        <v>260</v>
      </c>
    </row>
    <row r="37" customFormat="false" ht="69.75" hidden="false" customHeight="true" outlineLevel="0" collapsed="false">
      <c r="A37" s="9" t="s">
        <v>267</v>
      </c>
      <c r="B37" s="10" t="s">
        <v>262</v>
      </c>
      <c r="C37" s="10" t="s">
        <v>268</v>
      </c>
      <c r="D37" s="10" t="s">
        <v>269</v>
      </c>
      <c r="E37" s="10" t="s">
        <v>54</v>
      </c>
      <c r="F37" s="11" t="s">
        <v>34</v>
      </c>
      <c r="G37" s="10" t="s">
        <v>257</v>
      </c>
      <c r="H37" s="10" t="s">
        <v>270</v>
      </c>
      <c r="I37" s="10" t="s">
        <v>257</v>
      </c>
      <c r="J37" s="12" t="s">
        <v>257</v>
      </c>
      <c r="K37" s="12" t="s">
        <v>257</v>
      </c>
      <c r="L37" s="18" t="s">
        <v>257</v>
      </c>
      <c r="M37" s="10" t="s">
        <v>266</v>
      </c>
      <c r="N37" s="10" t="s">
        <v>260</v>
      </c>
    </row>
    <row r="38" customFormat="false" ht="69.75" hidden="false" customHeight="true" outlineLevel="0" collapsed="false">
      <c r="A38" s="9" t="s">
        <v>271</v>
      </c>
      <c r="B38" s="10" t="s">
        <v>262</v>
      </c>
      <c r="C38" s="10" t="s">
        <v>272</v>
      </c>
      <c r="D38" s="10" t="s">
        <v>273</v>
      </c>
      <c r="E38" s="10" t="s">
        <v>54</v>
      </c>
      <c r="F38" s="11" t="s">
        <v>34</v>
      </c>
      <c r="G38" s="10" t="s">
        <v>39</v>
      </c>
      <c r="H38" s="10" t="s">
        <v>274</v>
      </c>
      <c r="I38" s="10" t="s">
        <v>275</v>
      </c>
      <c r="J38" s="12" t="s">
        <v>39</v>
      </c>
      <c r="K38" s="12" t="s">
        <v>48</v>
      </c>
      <c r="L38" s="15" t="s">
        <v>66</v>
      </c>
      <c r="M38" s="10" t="s">
        <v>276</v>
      </c>
      <c r="N38" s="10" t="s">
        <v>59</v>
      </c>
    </row>
    <row r="39" customFormat="false" ht="69.75" hidden="false" customHeight="true" outlineLevel="0" collapsed="false">
      <c r="A39" s="9" t="s">
        <v>277</v>
      </c>
      <c r="B39" s="10" t="s">
        <v>262</v>
      </c>
      <c r="C39" s="10" t="s">
        <v>278</v>
      </c>
      <c r="D39" s="10" t="s">
        <v>279</v>
      </c>
      <c r="E39" s="10" t="s">
        <v>280</v>
      </c>
      <c r="F39" s="16" t="s">
        <v>101</v>
      </c>
      <c r="G39" s="10" t="s">
        <v>39</v>
      </c>
      <c r="H39" s="10" t="s">
        <v>281</v>
      </c>
      <c r="I39" s="10" t="s">
        <v>282</v>
      </c>
      <c r="J39" s="12" t="s">
        <v>48</v>
      </c>
      <c r="K39" s="12" t="s">
        <v>48</v>
      </c>
      <c r="L39" s="15" t="s">
        <v>66</v>
      </c>
      <c r="M39" s="10" t="s">
        <v>283</v>
      </c>
      <c r="N39" s="10" t="s">
        <v>133</v>
      </c>
    </row>
    <row r="40" customFormat="false" ht="69.75" hidden="false" customHeight="true" outlineLevel="0" collapsed="false">
      <c r="A40" s="9" t="s">
        <v>284</v>
      </c>
      <c r="B40" s="10" t="s">
        <v>262</v>
      </c>
      <c r="C40" s="10" t="s">
        <v>285</v>
      </c>
      <c r="D40" s="10" t="s">
        <v>286</v>
      </c>
      <c r="E40" s="10" t="s">
        <v>54</v>
      </c>
      <c r="F40" s="11" t="s">
        <v>34</v>
      </c>
      <c r="G40" s="10" t="s">
        <v>39</v>
      </c>
      <c r="H40" s="10" t="s">
        <v>287</v>
      </c>
      <c r="I40" s="10" t="s">
        <v>288</v>
      </c>
      <c r="J40" s="12" t="s">
        <v>39</v>
      </c>
      <c r="K40" s="12" t="s">
        <v>48</v>
      </c>
      <c r="L40" s="14" t="s">
        <v>57</v>
      </c>
      <c r="M40" s="10" t="s">
        <v>289</v>
      </c>
      <c r="N40" s="10" t="s">
        <v>290</v>
      </c>
    </row>
    <row r="41" customFormat="false" ht="69.75" hidden="false" customHeight="true" outlineLevel="0" collapsed="false">
      <c r="A41" s="9" t="s">
        <v>291</v>
      </c>
      <c r="B41" s="10" t="s">
        <v>292</v>
      </c>
      <c r="C41" s="10" t="s">
        <v>293</v>
      </c>
      <c r="D41" s="10" t="s">
        <v>294</v>
      </c>
      <c r="E41" s="10" t="s">
        <v>33</v>
      </c>
      <c r="F41" s="11" t="s">
        <v>34</v>
      </c>
      <c r="G41" s="10" t="s">
        <v>257</v>
      </c>
      <c r="H41" s="10" t="s">
        <v>295</v>
      </c>
      <c r="I41" s="10" t="s">
        <v>257</v>
      </c>
      <c r="J41" s="12" t="s">
        <v>257</v>
      </c>
      <c r="K41" s="12" t="s">
        <v>257</v>
      </c>
      <c r="L41" s="18" t="s">
        <v>257</v>
      </c>
      <c r="M41" s="10" t="s">
        <v>296</v>
      </c>
      <c r="N41" s="10" t="s">
        <v>260</v>
      </c>
    </row>
    <row r="42" customFormat="false" ht="69.75" hidden="false" customHeight="true" outlineLevel="0" collapsed="false">
      <c r="A42" s="9" t="s">
        <v>297</v>
      </c>
      <c r="B42" s="10" t="s">
        <v>292</v>
      </c>
      <c r="C42" s="10" t="s">
        <v>298</v>
      </c>
      <c r="D42" s="10" t="s">
        <v>299</v>
      </c>
      <c r="E42" s="10" t="s">
        <v>300</v>
      </c>
      <c r="F42" s="16" t="s">
        <v>101</v>
      </c>
      <c r="G42" s="10" t="s">
        <v>39</v>
      </c>
      <c r="H42" s="10" t="s">
        <v>301</v>
      </c>
      <c r="I42" s="10" t="s">
        <v>302</v>
      </c>
      <c r="J42" s="12" t="s">
        <v>48</v>
      </c>
      <c r="K42" s="12" t="s">
        <v>48</v>
      </c>
      <c r="L42" s="15" t="s">
        <v>66</v>
      </c>
      <c r="M42" s="10" t="s">
        <v>303</v>
      </c>
      <c r="N42" s="10" t="s">
        <v>304</v>
      </c>
    </row>
    <row r="43" customFormat="false" ht="69.75" hidden="false" customHeight="true" outlineLevel="0" collapsed="false">
      <c r="A43" s="9" t="s">
        <v>305</v>
      </c>
      <c r="B43" s="10" t="s">
        <v>292</v>
      </c>
      <c r="C43" s="10" t="s">
        <v>306</v>
      </c>
      <c r="D43" s="10" t="s">
        <v>307</v>
      </c>
      <c r="E43" s="10" t="s">
        <v>33</v>
      </c>
      <c r="F43" s="17" t="s">
        <v>220</v>
      </c>
      <c r="G43" s="10" t="s">
        <v>39</v>
      </c>
      <c r="H43" s="10" t="s">
        <v>308</v>
      </c>
      <c r="I43" s="10" t="s">
        <v>309</v>
      </c>
      <c r="J43" s="12" t="s">
        <v>48</v>
      </c>
      <c r="K43" s="12" t="s">
        <v>48</v>
      </c>
      <c r="L43" s="15" t="s">
        <v>66</v>
      </c>
      <c r="M43" s="10" t="s">
        <v>310</v>
      </c>
      <c r="N43" s="10" t="s">
        <v>133</v>
      </c>
    </row>
  </sheetData>
  <autoFilter ref="A4:N43"/>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78"/>
  </cols>
  <sheetData>
    <row r="1" customFormat="false" ht="27.75" hidden="false" customHeight="true" outlineLevel="0" collapsed="false">
      <c r="A1" s="6" t="s">
        <v>20</v>
      </c>
      <c r="B1" s="6"/>
      <c r="C1" s="6"/>
    </row>
    <row r="2" customFormat="false" ht="15.75" hidden="false" customHeight="true" outlineLevel="0" collapsed="false">
      <c r="A2" s="7" t="s">
        <v>311</v>
      </c>
      <c r="B2" s="7"/>
      <c r="C2" s="7"/>
    </row>
    <row r="4" customFormat="false" ht="15" hidden="false" customHeight="false" outlineLevel="0" collapsed="false">
      <c r="A4" s="8" t="s">
        <v>312</v>
      </c>
      <c r="B4" s="8" t="s">
        <v>313</v>
      </c>
      <c r="C4" s="8" t="s">
        <v>314</v>
      </c>
    </row>
    <row r="5" customFormat="false" ht="42" hidden="false" customHeight="true" outlineLevel="0" collapsed="false">
      <c r="A5" s="19" t="s">
        <v>34</v>
      </c>
      <c r="B5" s="20" t="n">
        <f aca="false">COUNTIF('Master Findings'!F5:F43,"VERIFIED")</f>
        <v>28</v>
      </c>
      <c r="C5" s="21" t="s">
        <v>315</v>
      </c>
    </row>
    <row r="6" customFormat="false" ht="42" hidden="false" customHeight="true" outlineLevel="0" collapsed="false">
      <c r="A6" s="19" t="s">
        <v>220</v>
      </c>
      <c r="B6" s="22" t="n">
        <f aca="false">COUNTIF('Master Findings'!F5:F43,"PARTIALLY VERIFIED")</f>
        <v>4</v>
      </c>
      <c r="C6" s="21" t="s">
        <v>316</v>
      </c>
    </row>
    <row r="7" customFormat="false" ht="42" hidden="false" customHeight="true" outlineLevel="0" collapsed="false">
      <c r="A7" s="19" t="s">
        <v>101</v>
      </c>
      <c r="B7" s="23" t="n">
        <f aca="false">COUNTIF('Master Findings'!F5:F43,"HYPOTHESIS")</f>
        <v>7</v>
      </c>
      <c r="C7" s="21" t="s">
        <v>317</v>
      </c>
    </row>
    <row r="8" customFormat="false" ht="42" hidden="false" customHeight="true" outlineLevel="0" collapsed="false">
      <c r="A8" s="19" t="s">
        <v>318</v>
      </c>
      <c r="B8" s="24" t="n">
        <f aca="false">COUNTA('Master Findings'!A5:A43)</f>
        <v>39</v>
      </c>
      <c r="C8" s="21"/>
    </row>
    <row r="10" customFormat="false" ht="15" hidden="false" customHeight="false" outlineLevel="0" collapsed="false">
      <c r="A10" s="25" t="s">
        <v>319</v>
      </c>
    </row>
    <row r="11" customFormat="false" ht="21.75" hidden="false" customHeight="true" outlineLevel="0" collapsed="false">
      <c r="A11" s="26" t="s">
        <v>320</v>
      </c>
      <c r="B11" s="26"/>
      <c r="C11" s="26"/>
    </row>
    <row r="12" customFormat="false" ht="21.75" hidden="false" customHeight="true" outlineLevel="0" collapsed="false">
      <c r="A12" s="26" t="s">
        <v>321</v>
      </c>
      <c r="B12" s="26"/>
      <c r="C12" s="26"/>
    </row>
    <row r="13" customFormat="false" ht="21.75" hidden="false" customHeight="true" outlineLevel="0" collapsed="false">
      <c r="A13" s="26" t="s">
        <v>322</v>
      </c>
      <c r="B13" s="26"/>
      <c r="C13" s="26"/>
    </row>
    <row r="14" customFormat="false" ht="21.75" hidden="false" customHeight="true" outlineLevel="0" collapsed="false">
      <c r="A14" s="26" t="s">
        <v>323</v>
      </c>
      <c r="B14" s="26"/>
      <c r="C14" s="26"/>
    </row>
    <row r="15" customFormat="false" ht="21.75" hidden="false" customHeight="true" outlineLevel="0" collapsed="false">
      <c r="A15" s="26" t="s">
        <v>324</v>
      </c>
      <c r="B15" s="26"/>
      <c r="C15" s="26"/>
    </row>
  </sheetData>
  <mergeCells count="7">
    <mergeCell ref="A1:C1"/>
    <mergeCell ref="A2:C2"/>
    <mergeCell ref="A11:C11"/>
    <mergeCell ref="A12:C1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325</v>
      </c>
      <c r="B1" s="6"/>
      <c r="C1" s="6"/>
      <c r="D1" s="6"/>
      <c r="E1" s="6"/>
      <c r="F1" s="6"/>
    </row>
    <row r="2" customFormat="false" ht="15.75" hidden="false" customHeight="true" outlineLevel="0" collapsed="false">
      <c r="A2" s="7" t="s">
        <v>326</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29</v>
      </c>
      <c r="B5" s="28" t="s">
        <v>31</v>
      </c>
      <c r="C5" s="29" t="s">
        <v>34</v>
      </c>
      <c r="D5" s="30" t="s">
        <v>40</v>
      </c>
      <c r="E5" s="31" t="s">
        <v>38</v>
      </c>
      <c r="F5" s="28" t="s">
        <v>41</v>
      </c>
    </row>
    <row r="6" customFormat="false" ht="55.5" hidden="false" customHeight="true" outlineLevel="0" collapsed="false">
      <c r="A6" s="27" t="s">
        <v>43</v>
      </c>
      <c r="B6" s="28" t="s">
        <v>44</v>
      </c>
      <c r="C6" s="29" t="s">
        <v>34</v>
      </c>
      <c r="D6" s="30" t="s">
        <v>40</v>
      </c>
      <c r="E6" s="31" t="s">
        <v>48</v>
      </c>
      <c r="F6" s="28" t="s">
        <v>49</v>
      </c>
    </row>
    <row r="7" customFormat="false" ht="55.5" hidden="false" customHeight="true" outlineLevel="0" collapsed="false">
      <c r="A7" s="27" t="s">
        <v>51</v>
      </c>
      <c r="B7" s="28" t="s">
        <v>52</v>
      </c>
      <c r="C7" s="29" t="s">
        <v>34</v>
      </c>
      <c r="D7" s="32" t="s">
        <v>57</v>
      </c>
      <c r="E7" s="31" t="s">
        <v>39</v>
      </c>
      <c r="F7" s="28" t="s">
        <v>58</v>
      </c>
    </row>
    <row r="8" customFormat="false" ht="55.5" hidden="false" customHeight="true" outlineLevel="0" collapsed="false">
      <c r="A8" s="27" t="s">
        <v>60</v>
      </c>
      <c r="B8" s="28" t="s">
        <v>61</v>
      </c>
      <c r="C8" s="29" t="s">
        <v>34</v>
      </c>
      <c r="D8" s="33" t="s">
        <v>66</v>
      </c>
      <c r="E8" s="31" t="s">
        <v>39</v>
      </c>
      <c r="F8" s="28" t="s">
        <v>67</v>
      </c>
    </row>
    <row r="9" customFormat="false" ht="55.5" hidden="false" customHeight="true" outlineLevel="0" collapsed="false">
      <c r="A9" s="27" t="s">
        <v>68</v>
      </c>
      <c r="B9" s="28" t="s">
        <v>69</v>
      </c>
      <c r="C9" s="29" t="s">
        <v>34</v>
      </c>
      <c r="D9" s="30" t="s">
        <v>40</v>
      </c>
      <c r="E9" s="31" t="s">
        <v>39</v>
      </c>
      <c r="F9" s="28" t="s">
        <v>73</v>
      </c>
    </row>
    <row r="10" customFormat="false" ht="55.5" hidden="false" customHeight="true" outlineLevel="0" collapsed="false">
      <c r="A10" s="27" t="s">
        <v>75</v>
      </c>
      <c r="B10" s="28" t="s">
        <v>76</v>
      </c>
      <c r="C10" s="29" t="s">
        <v>34</v>
      </c>
      <c r="D10" s="32" t="s">
        <v>57</v>
      </c>
      <c r="E10" s="31" t="s">
        <v>39</v>
      </c>
      <c r="F10" s="28" t="s">
        <v>80</v>
      </c>
    </row>
    <row r="11" customFormat="false" ht="55.5" hidden="false" customHeight="true" outlineLevel="0" collapsed="false">
      <c r="A11" s="27" t="s">
        <v>82</v>
      </c>
      <c r="B11" s="28" t="s">
        <v>83</v>
      </c>
      <c r="C11" s="29" t="s">
        <v>34</v>
      </c>
      <c r="D11" s="33" t="s">
        <v>66</v>
      </c>
      <c r="E11" s="31" t="s">
        <v>39</v>
      </c>
      <c r="F11" s="28" t="s">
        <v>88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328</v>
      </c>
      <c r="B1" s="6"/>
      <c r="C1" s="6"/>
      <c r="D1" s="6"/>
      <c r="E1" s="6"/>
      <c r="F1" s="6"/>
    </row>
    <row r="2" customFormat="false" ht="15.75" hidden="false" customHeight="true" outlineLevel="0" collapsed="false">
      <c r="A2" s="7" t="s">
        <v>329</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139</v>
      </c>
      <c r="B5" s="28" t="s">
        <v>141</v>
      </c>
      <c r="C5" s="29" t="s">
        <v>34</v>
      </c>
      <c r="D5" s="32" t="s">
        <v>57</v>
      </c>
      <c r="E5" s="31" t="s">
        <v>48</v>
      </c>
      <c r="F5" s="28" t="s">
        <v>145</v>
      </c>
    </row>
    <row r="6" customFormat="false" ht="55.5" hidden="false" customHeight="true" outlineLevel="0" collapsed="false">
      <c r="A6" s="27" t="s">
        <v>147</v>
      </c>
      <c r="B6" s="28" t="s">
        <v>148</v>
      </c>
      <c r="C6" s="29" t="s">
        <v>34</v>
      </c>
      <c r="D6" s="33" t="s">
        <v>66</v>
      </c>
      <c r="E6" s="31" t="s">
        <v>39</v>
      </c>
      <c r="F6" s="28" t="s">
        <v>152</v>
      </c>
    </row>
    <row r="7" customFormat="false" ht="55.5" hidden="false" customHeight="true" outlineLevel="0" collapsed="false">
      <c r="A7" s="27" t="s">
        <v>154</v>
      </c>
      <c r="B7" s="28" t="s">
        <v>155</v>
      </c>
      <c r="C7" s="29" t="s">
        <v>34</v>
      </c>
      <c r="D7" s="32" t="s">
        <v>57</v>
      </c>
      <c r="E7" s="31" t="s">
        <v>39</v>
      </c>
      <c r="F7" s="28" t="s">
        <v>159</v>
      </c>
    </row>
    <row r="8" customFormat="false" ht="55.5" hidden="false" customHeight="true" outlineLevel="0" collapsed="false">
      <c r="A8" s="27" t="s">
        <v>160</v>
      </c>
      <c r="B8" s="28" t="s">
        <v>161</v>
      </c>
      <c r="C8" s="29" t="s">
        <v>34</v>
      </c>
      <c r="D8" s="33" t="s">
        <v>66</v>
      </c>
      <c r="E8" s="31" t="s">
        <v>39</v>
      </c>
      <c r="F8" s="28" t="s">
        <v>165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330</v>
      </c>
      <c r="B1" s="6"/>
      <c r="C1" s="6"/>
      <c r="D1" s="6"/>
      <c r="E1" s="6"/>
      <c r="F1" s="6"/>
    </row>
    <row r="2" customFormat="false" ht="15.75" hidden="false" customHeight="true" outlineLevel="0" collapsed="false">
      <c r="A2" s="7" t="s">
        <v>331</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90</v>
      </c>
      <c r="B5" s="28" t="s">
        <v>92</v>
      </c>
      <c r="C5" s="29" t="s">
        <v>34</v>
      </c>
      <c r="D5" s="30" t="s">
        <v>40</v>
      </c>
      <c r="E5" s="31" t="s">
        <v>39</v>
      </c>
      <c r="F5" s="28" t="s">
        <v>96</v>
      </c>
    </row>
    <row r="6" customFormat="false" ht="55.5" hidden="false" customHeight="true" outlineLevel="0" collapsed="false">
      <c r="A6" s="27" t="s">
        <v>97</v>
      </c>
      <c r="B6" s="28" t="s">
        <v>98</v>
      </c>
      <c r="C6" s="34" t="s">
        <v>101</v>
      </c>
      <c r="D6" s="30" t="s">
        <v>40</v>
      </c>
      <c r="E6" s="31" t="s">
        <v>48</v>
      </c>
      <c r="F6" s="28" t="s">
        <v>105</v>
      </c>
    </row>
    <row r="7" customFormat="false" ht="55.5" hidden="false" customHeight="true" outlineLevel="0" collapsed="false">
      <c r="A7" s="27" t="s">
        <v>107</v>
      </c>
      <c r="B7" s="28" t="s">
        <v>108</v>
      </c>
      <c r="C7" s="29" t="s">
        <v>34</v>
      </c>
      <c r="D7" s="30" t="s">
        <v>40</v>
      </c>
      <c r="E7" s="31" t="s">
        <v>48</v>
      </c>
      <c r="F7" s="28" t="s">
        <v>112</v>
      </c>
    </row>
    <row r="8" customFormat="false" ht="55.5" hidden="false" customHeight="true" outlineLevel="0" collapsed="false">
      <c r="A8" s="27" t="s">
        <v>113</v>
      </c>
      <c r="B8" s="28" t="s">
        <v>114</v>
      </c>
      <c r="C8" s="29" t="s">
        <v>34</v>
      </c>
      <c r="D8" s="32" t="s">
        <v>57</v>
      </c>
      <c r="E8" s="31" t="s">
        <v>39</v>
      </c>
      <c r="F8" s="28" t="s">
        <v>118</v>
      </c>
    </row>
    <row r="9" customFormat="false" ht="55.5" hidden="false" customHeight="true" outlineLevel="0" collapsed="false">
      <c r="A9" s="27" t="s">
        <v>120</v>
      </c>
      <c r="B9" s="28" t="s">
        <v>121</v>
      </c>
      <c r="C9" s="29" t="s">
        <v>34</v>
      </c>
      <c r="D9" s="33" t="s">
        <v>66</v>
      </c>
      <c r="E9" s="31" t="s">
        <v>48</v>
      </c>
      <c r="F9" s="28" t="s">
        <v>125</v>
      </c>
    </row>
    <row r="10" customFormat="false" ht="55.5" hidden="false" customHeight="true" outlineLevel="0" collapsed="false">
      <c r="A10" s="27" t="s">
        <v>127</v>
      </c>
      <c r="B10" s="28" t="s">
        <v>128</v>
      </c>
      <c r="C10" s="29" t="s">
        <v>34</v>
      </c>
      <c r="D10" s="33" t="s">
        <v>66</v>
      </c>
      <c r="E10" s="31" t="s">
        <v>48</v>
      </c>
      <c r="F10" s="28" t="s">
        <v>132</v>
      </c>
    </row>
    <row r="11" customFormat="false" ht="55.5" hidden="false" customHeight="true" outlineLevel="0" collapsed="false">
      <c r="A11" s="27" t="s">
        <v>134</v>
      </c>
      <c r="B11" s="28" t="s">
        <v>135</v>
      </c>
      <c r="C11" s="29" t="s">
        <v>34</v>
      </c>
      <c r="D11" s="33" t="s">
        <v>66</v>
      </c>
      <c r="E11" s="31" t="s">
        <v>48</v>
      </c>
      <c r="F11" s="28" t="s">
        <v>138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332</v>
      </c>
      <c r="B1" s="6"/>
      <c r="C1" s="6"/>
      <c r="D1" s="6"/>
      <c r="E1" s="6"/>
      <c r="F1" s="6"/>
    </row>
    <row r="2" customFormat="false" ht="15.75" hidden="false" customHeight="true" outlineLevel="0" collapsed="false">
      <c r="A2" s="7" t="s">
        <v>333</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167</v>
      </c>
      <c r="B5" s="28" t="s">
        <v>169</v>
      </c>
      <c r="C5" s="29" t="s">
        <v>34</v>
      </c>
      <c r="D5" s="32" t="s">
        <v>57</v>
      </c>
      <c r="E5" s="31" t="s">
        <v>39</v>
      </c>
      <c r="F5" s="28" t="s">
        <v>173</v>
      </c>
    </row>
    <row r="6" customFormat="false" ht="55.5" hidden="false" customHeight="true" outlineLevel="0" collapsed="false">
      <c r="A6" s="27" t="s">
        <v>175</v>
      </c>
      <c r="B6" s="28" t="s">
        <v>176</v>
      </c>
      <c r="C6" s="29" t="s">
        <v>34</v>
      </c>
      <c r="D6" s="32" t="s">
        <v>57</v>
      </c>
      <c r="E6" s="31" t="s">
        <v>39</v>
      </c>
      <c r="F6" s="28" t="s">
        <v>180</v>
      </c>
    </row>
    <row r="7" customFormat="false" ht="55.5" hidden="false" customHeight="true" outlineLevel="0" collapsed="false">
      <c r="A7" s="27" t="s">
        <v>182</v>
      </c>
      <c r="B7" s="28" t="s">
        <v>183</v>
      </c>
      <c r="C7" s="29" t="s">
        <v>34</v>
      </c>
      <c r="D7" s="33" t="s">
        <v>66</v>
      </c>
      <c r="E7" s="31" t="s">
        <v>38</v>
      </c>
      <c r="F7" s="28" t="s">
        <v>187</v>
      </c>
    </row>
    <row r="8" customFormat="false" ht="55.5" hidden="false" customHeight="true" outlineLevel="0" collapsed="false">
      <c r="A8" s="27" t="s">
        <v>188</v>
      </c>
      <c r="B8" s="28" t="s">
        <v>189</v>
      </c>
      <c r="C8" s="34" t="s">
        <v>101</v>
      </c>
      <c r="D8" s="32" t="s">
        <v>57</v>
      </c>
      <c r="E8" s="31" t="s">
        <v>39</v>
      </c>
      <c r="F8" s="28" t="s">
        <v>193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196</v>
      </c>
      <c r="B1" s="6"/>
      <c r="C1" s="6"/>
      <c r="D1" s="6"/>
      <c r="E1" s="6"/>
      <c r="F1" s="6"/>
    </row>
    <row r="2" customFormat="false" ht="15.75" hidden="false" customHeight="true" outlineLevel="0" collapsed="false">
      <c r="A2" s="7" t="s">
        <v>334</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195</v>
      </c>
      <c r="B5" s="28" t="s">
        <v>197</v>
      </c>
      <c r="C5" s="34" t="s">
        <v>101</v>
      </c>
      <c r="D5" s="32" t="s">
        <v>57</v>
      </c>
      <c r="E5" s="31" t="s">
        <v>39</v>
      </c>
      <c r="F5" s="28" t="s">
        <v>201</v>
      </c>
    </row>
    <row r="6" customFormat="false" ht="55.5" hidden="false" customHeight="true" outlineLevel="0" collapsed="false">
      <c r="A6" s="27" t="s">
        <v>203</v>
      </c>
      <c r="B6" s="28" t="s">
        <v>204</v>
      </c>
      <c r="C6" s="29" t="s">
        <v>34</v>
      </c>
      <c r="D6" s="32" t="s">
        <v>57</v>
      </c>
      <c r="E6" s="31" t="s">
        <v>48</v>
      </c>
      <c r="F6" s="28" t="s">
        <v>208</v>
      </c>
    </row>
    <row r="7" customFormat="false" ht="55.5" hidden="false" customHeight="true" outlineLevel="0" collapsed="false">
      <c r="A7" s="27" t="s">
        <v>209</v>
      </c>
      <c r="B7" s="28" t="s">
        <v>210</v>
      </c>
      <c r="C7" s="34" t="s">
        <v>101</v>
      </c>
      <c r="D7" s="33" t="s">
        <v>66</v>
      </c>
      <c r="E7" s="31" t="s">
        <v>48</v>
      </c>
      <c r="F7" s="28" t="s">
        <v>215</v>
      </c>
    </row>
    <row r="8" customFormat="false" ht="55.5" hidden="false" customHeight="true" outlineLevel="0" collapsed="false">
      <c r="A8" s="27" t="s">
        <v>217</v>
      </c>
      <c r="B8" s="28" t="s">
        <v>218</v>
      </c>
      <c r="C8" s="35" t="s">
        <v>220</v>
      </c>
      <c r="D8" s="33" t="s">
        <v>66</v>
      </c>
      <c r="E8" s="31" t="s">
        <v>39</v>
      </c>
      <c r="F8" s="28" t="s">
        <v>223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335</v>
      </c>
      <c r="B1" s="6"/>
      <c r="C1" s="6"/>
      <c r="D1" s="6"/>
      <c r="E1" s="6"/>
      <c r="F1" s="6"/>
    </row>
    <row r="2" customFormat="false" ht="15.75" hidden="false" customHeight="true" outlineLevel="0" collapsed="false">
      <c r="A2" s="7" t="s">
        <v>336</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225</v>
      </c>
      <c r="B5" s="28" t="s">
        <v>227</v>
      </c>
      <c r="C5" s="29" t="s">
        <v>34</v>
      </c>
      <c r="D5" s="33" t="s">
        <v>66</v>
      </c>
      <c r="E5" s="31" t="s">
        <v>48</v>
      </c>
      <c r="F5" s="28" t="s">
        <v>232</v>
      </c>
    </row>
    <row r="6" customFormat="false" ht="55.5" hidden="false" customHeight="true" outlineLevel="0" collapsed="false">
      <c r="A6" s="27" t="s">
        <v>233</v>
      </c>
      <c r="B6" s="28" t="s">
        <v>234</v>
      </c>
      <c r="C6" s="35" t="s">
        <v>220</v>
      </c>
      <c r="D6" s="33" t="s">
        <v>66</v>
      </c>
      <c r="E6" s="31" t="s">
        <v>48</v>
      </c>
      <c r="F6" s="28" t="s">
        <v>238</v>
      </c>
    </row>
    <row r="7" customFormat="false" ht="55.5" hidden="false" customHeight="true" outlineLevel="0" collapsed="false">
      <c r="A7" s="27" t="s">
        <v>239</v>
      </c>
      <c r="B7" s="28" t="s">
        <v>240</v>
      </c>
      <c r="C7" s="34" t="s">
        <v>101</v>
      </c>
      <c r="D7" s="33" t="s">
        <v>66</v>
      </c>
      <c r="E7" s="31" t="s">
        <v>48</v>
      </c>
      <c r="F7" s="28" t="s">
        <v>245</v>
      </c>
    </row>
    <row r="8" customFormat="false" ht="55.5" hidden="false" customHeight="true" outlineLevel="0" collapsed="false">
      <c r="A8" s="27" t="s">
        <v>247</v>
      </c>
      <c r="B8" s="28" t="s">
        <v>248</v>
      </c>
      <c r="C8" s="35" t="s">
        <v>220</v>
      </c>
      <c r="D8" s="32" t="s">
        <v>57</v>
      </c>
      <c r="E8" s="31" t="s">
        <v>48</v>
      </c>
      <c r="F8" s="28" t="s">
        <v>252</v>
      </c>
    </row>
    <row r="9" customFormat="false" ht="55.5" hidden="false" customHeight="true" outlineLevel="0" collapsed="false">
      <c r="A9" s="27" t="s">
        <v>254</v>
      </c>
      <c r="B9" s="28" t="s">
        <v>255</v>
      </c>
      <c r="C9" s="29" t="s">
        <v>34</v>
      </c>
      <c r="D9" s="36" t="s">
        <v>257</v>
      </c>
      <c r="E9" s="31" t="s">
        <v>257</v>
      </c>
      <c r="F9" s="28" t="s">
        <v>259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337</v>
      </c>
      <c r="B1" s="6"/>
      <c r="C1" s="6"/>
      <c r="D1" s="6"/>
      <c r="E1" s="6"/>
      <c r="F1" s="6"/>
    </row>
    <row r="2" customFormat="false" ht="15.75" hidden="false" customHeight="true" outlineLevel="0" collapsed="false">
      <c r="A2" s="7" t="s">
        <v>338</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261</v>
      </c>
      <c r="B5" s="28" t="s">
        <v>263</v>
      </c>
      <c r="C5" s="29" t="s">
        <v>34</v>
      </c>
      <c r="D5" s="36" t="s">
        <v>257</v>
      </c>
      <c r="E5" s="31" t="s">
        <v>257</v>
      </c>
      <c r="F5" s="28" t="s">
        <v>266</v>
      </c>
    </row>
    <row r="6" customFormat="false" ht="55.5" hidden="false" customHeight="true" outlineLevel="0" collapsed="false">
      <c r="A6" s="27" t="s">
        <v>267</v>
      </c>
      <c r="B6" s="28" t="s">
        <v>268</v>
      </c>
      <c r="C6" s="29" t="s">
        <v>34</v>
      </c>
      <c r="D6" s="36" t="s">
        <v>257</v>
      </c>
      <c r="E6" s="31" t="s">
        <v>257</v>
      </c>
      <c r="F6" s="28" t="s">
        <v>266</v>
      </c>
    </row>
    <row r="7" customFormat="false" ht="55.5" hidden="false" customHeight="true" outlineLevel="0" collapsed="false">
      <c r="A7" s="27" t="s">
        <v>271</v>
      </c>
      <c r="B7" s="28" t="s">
        <v>272</v>
      </c>
      <c r="C7" s="29" t="s">
        <v>34</v>
      </c>
      <c r="D7" s="33" t="s">
        <v>66</v>
      </c>
      <c r="E7" s="31" t="s">
        <v>39</v>
      </c>
      <c r="F7" s="28" t="s">
        <v>276</v>
      </c>
    </row>
    <row r="8" customFormat="false" ht="55.5" hidden="false" customHeight="true" outlineLevel="0" collapsed="false">
      <c r="A8" s="27" t="s">
        <v>277</v>
      </c>
      <c r="B8" s="28" t="s">
        <v>278</v>
      </c>
      <c r="C8" s="34" t="s">
        <v>101</v>
      </c>
      <c r="D8" s="33" t="s">
        <v>66</v>
      </c>
      <c r="E8" s="31" t="s">
        <v>48</v>
      </c>
      <c r="F8" s="28" t="s">
        <v>283</v>
      </c>
    </row>
    <row r="9" customFormat="false" ht="55.5" hidden="false" customHeight="true" outlineLevel="0" collapsed="false">
      <c r="A9" s="27" t="s">
        <v>284</v>
      </c>
      <c r="B9" s="28" t="s">
        <v>285</v>
      </c>
      <c r="C9" s="29" t="s">
        <v>34</v>
      </c>
      <c r="D9" s="32" t="s">
        <v>57</v>
      </c>
      <c r="E9" s="31" t="s">
        <v>39</v>
      </c>
      <c r="F9" s="28" t="s">
        <v>289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6" t="s">
        <v>339</v>
      </c>
      <c r="B1" s="6"/>
      <c r="C1" s="6"/>
      <c r="D1" s="6"/>
      <c r="E1" s="6"/>
      <c r="F1" s="6"/>
    </row>
    <row r="2" customFormat="false" ht="15.75" hidden="false" customHeight="true" outlineLevel="0" collapsed="false">
      <c r="A2" s="7" t="s">
        <v>340</v>
      </c>
      <c r="B2" s="7"/>
      <c r="C2" s="7"/>
      <c r="D2" s="7"/>
      <c r="E2" s="7"/>
      <c r="F2" s="7"/>
    </row>
    <row r="4" customFormat="false" ht="15" hidden="false" customHeight="false" outlineLevel="0" collapsed="false">
      <c r="A4" s="8" t="s">
        <v>15</v>
      </c>
      <c r="B4" s="8" t="s">
        <v>17</v>
      </c>
      <c r="C4" s="8" t="s">
        <v>327</v>
      </c>
      <c r="D4" s="8" t="s">
        <v>26</v>
      </c>
      <c r="E4" s="8" t="s">
        <v>24</v>
      </c>
      <c r="F4" s="8" t="s">
        <v>27</v>
      </c>
    </row>
    <row r="5" customFormat="false" ht="55.5" hidden="false" customHeight="true" outlineLevel="0" collapsed="false">
      <c r="A5" s="27" t="s">
        <v>291</v>
      </c>
      <c r="B5" s="28" t="s">
        <v>293</v>
      </c>
      <c r="C5" s="29" t="s">
        <v>34</v>
      </c>
      <c r="D5" s="36" t="s">
        <v>257</v>
      </c>
      <c r="E5" s="31" t="s">
        <v>257</v>
      </c>
      <c r="F5" s="28" t="s">
        <v>296</v>
      </c>
    </row>
    <row r="6" customFormat="false" ht="55.5" hidden="false" customHeight="true" outlineLevel="0" collapsed="false">
      <c r="A6" s="27" t="s">
        <v>297</v>
      </c>
      <c r="B6" s="28" t="s">
        <v>298</v>
      </c>
      <c r="C6" s="34" t="s">
        <v>101</v>
      </c>
      <c r="D6" s="33" t="s">
        <v>66</v>
      </c>
      <c r="E6" s="31" t="s">
        <v>48</v>
      </c>
      <c r="F6" s="28" t="s">
        <v>303</v>
      </c>
    </row>
    <row r="7" customFormat="false" ht="55.5" hidden="false" customHeight="true" outlineLevel="0" collapsed="false">
      <c r="A7" s="27" t="s">
        <v>305</v>
      </c>
      <c r="B7" s="28" t="s">
        <v>306</v>
      </c>
      <c r="C7" s="35" t="s">
        <v>220</v>
      </c>
      <c r="D7" s="33" t="s">
        <v>66</v>
      </c>
      <c r="E7" s="31" t="s">
        <v>48</v>
      </c>
      <c r="F7" s="28" t="s">
        <v>310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52"/>
    <col collapsed="false" customWidth="true" hidden="false" outlineLevel="0" max="3" min="3" style="0" width="16"/>
    <col collapsed="false" customWidth="true" hidden="false" outlineLevel="0" max="4" min="4" style="0" width="46"/>
  </cols>
  <sheetData>
    <row r="1" customFormat="false" ht="27.75" hidden="false" customHeight="true" outlineLevel="0" collapsed="false">
      <c r="A1" s="6" t="s">
        <v>341</v>
      </c>
      <c r="B1" s="6"/>
      <c r="C1" s="6"/>
      <c r="D1" s="6"/>
    </row>
    <row r="2" customFormat="false" ht="15.75" hidden="false" customHeight="true" outlineLevel="0" collapsed="false">
      <c r="A2" s="7" t="s">
        <v>342</v>
      </c>
      <c r="B2" s="7"/>
      <c r="C2" s="7"/>
      <c r="D2" s="7"/>
    </row>
    <row r="4" customFormat="false" ht="15" hidden="false" customHeight="false" outlineLevel="0" collapsed="false">
      <c r="A4" s="8" t="s">
        <v>343</v>
      </c>
      <c r="B4" s="8" t="s">
        <v>344</v>
      </c>
      <c r="C4" s="8" t="s">
        <v>345</v>
      </c>
      <c r="D4" s="8" t="s">
        <v>346</v>
      </c>
    </row>
    <row r="5" customFormat="false" ht="48" hidden="false" customHeight="true" outlineLevel="0" collapsed="false">
      <c r="A5" s="37" t="s">
        <v>347</v>
      </c>
      <c r="B5" s="21" t="s">
        <v>348</v>
      </c>
      <c r="C5" s="38" t="s">
        <v>349</v>
      </c>
      <c r="D5" s="39" t="s">
        <v>350</v>
      </c>
    </row>
    <row r="6" customFormat="false" ht="48" hidden="false" customHeight="true" outlineLevel="0" collapsed="false">
      <c r="A6" s="37" t="s">
        <v>347</v>
      </c>
      <c r="B6" s="21" t="s">
        <v>351</v>
      </c>
      <c r="C6" s="38" t="s">
        <v>349</v>
      </c>
      <c r="D6" s="39" t="s">
        <v>352</v>
      </c>
    </row>
    <row r="7" customFormat="false" ht="48" hidden="false" customHeight="true" outlineLevel="0" collapsed="false">
      <c r="A7" s="37" t="s">
        <v>347</v>
      </c>
      <c r="B7" s="21" t="s">
        <v>353</v>
      </c>
      <c r="C7" s="38" t="s">
        <v>349</v>
      </c>
      <c r="D7" s="39" t="s">
        <v>354</v>
      </c>
    </row>
    <row r="8" customFormat="false" ht="48" hidden="false" customHeight="true" outlineLevel="0" collapsed="false">
      <c r="A8" s="37" t="s">
        <v>355</v>
      </c>
      <c r="B8" s="21" t="s">
        <v>356</v>
      </c>
      <c r="C8" s="38" t="s">
        <v>349</v>
      </c>
      <c r="D8" s="39" t="s">
        <v>357</v>
      </c>
    </row>
    <row r="9" customFormat="false" ht="48" hidden="false" customHeight="true" outlineLevel="0" collapsed="false">
      <c r="A9" s="37" t="s">
        <v>355</v>
      </c>
      <c r="B9" s="21" t="s">
        <v>358</v>
      </c>
      <c r="C9" s="38" t="s">
        <v>349</v>
      </c>
      <c r="D9" s="39" t="s">
        <v>359</v>
      </c>
    </row>
    <row r="10" customFormat="false" ht="48" hidden="false" customHeight="true" outlineLevel="0" collapsed="false">
      <c r="A10" s="37" t="s">
        <v>355</v>
      </c>
      <c r="B10" s="21" t="s">
        <v>360</v>
      </c>
      <c r="C10" s="38" t="s">
        <v>349</v>
      </c>
      <c r="D10" s="39" t="s">
        <v>361</v>
      </c>
    </row>
    <row r="11" customFormat="false" ht="48" hidden="false" customHeight="true" outlineLevel="0" collapsed="false">
      <c r="A11" s="37" t="s">
        <v>362</v>
      </c>
      <c r="B11" s="21" t="s">
        <v>363</v>
      </c>
      <c r="C11" s="15" t="s">
        <v>364</v>
      </c>
      <c r="D11" s="39" t="s">
        <v>365</v>
      </c>
    </row>
    <row r="12" customFormat="false" ht="48" hidden="false" customHeight="true" outlineLevel="0" collapsed="false">
      <c r="A12" s="37" t="s">
        <v>366</v>
      </c>
      <c r="B12" s="21" t="s">
        <v>367</v>
      </c>
      <c r="C12" s="15" t="s">
        <v>364</v>
      </c>
      <c r="D12" s="39" t="s">
        <v>368</v>
      </c>
    </row>
    <row r="13" customFormat="false" ht="48" hidden="false" customHeight="true" outlineLevel="0" collapsed="false">
      <c r="A13" s="37" t="s">
        <v>369</v>
      </c>
      <c r="B13" s="21" t="s">
        <v>370</v>
      </c>
      <c r="C13" s="15" t="s">
        <v>364</v>
      </c>
      <c r="D13" s="39" t="s">
        <v>371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6"/>
    <col collapsed="false" customWidth="true" hidden="false" outlineLevel="0" max="4" min="4" style="0" width="52"/>
    <col collapsed="false" customWidth="true" hidden="false" outlineLevel="0" max="5" min="5" style="0" width="9"/>
  </cols>
  <sheetData>
    <row r="1" customFormat="false" ht="27.75" hidden="false" customHeight="true" outlineLevel="0" collapsed="false">
      <c r="A1" s="6" t="s">
        <v>372</v>
      </c>
      <c r="B1" s="6"/>
      <c r="C1" s="6"/>
      <c r="D1" s="6"/>
      <c r="E1" s="6"/>
    </row>
    <row r="2" customFormat="false" ht="15.75" hidden="false" customHeight="true" outlineLevel="0" collapsed="false">
      <c r="A2" s="7" t="s">
        <v>373</v>
      </c>
      <c r="B2" s="7"/>
      <c r="C2" s="7"/>
      <c r="D2" s="7"/>
      <c r="E2" s="7"/>
    </row>
    <row r="4" customFormat="false" ht="15" hidden="false" customHeight="false" outlineLevel="0" collapsed="false">
      <c r="A4" s="8" t="s">
        <v>15</v>
      </c>
      <c r="B4" s="8" t="s">
        <v>16</v>
      </c>
      <c r="C4" s="8" t="s">
        <v>17</v>
      </c>
      <c r="D4" s="8" t="s">
        <v>27</v>
      </c>
      <c r="E4" s="8" t="s">
        <v>26</v>
      </c>
    </row>
    <row r="5" customFormat="false" ht="54" hidden="false" customHeight="true" outlineLevel="0" collapsed="false">
      <c r="A5" s="31" t="s">
        <v>43</v>
      </c>
      <c r="B5" s="28" t="s">
        <v>30</v>
      </c>
      <c r="C5" s="28" t="s">
        <v>44</v>
      </c>
      <c r="D5" s="28" t="s">
        <v>49</v>
      </c>
      <c r="E5" s="30" t="s">
        <v>40</v>
      </c>
    </row>
    <row r="6" customFormat="false" ht="54" hidden="false" customHeight="true" outlineLevel="0" collapsed="false">
      <c r="A6" s="31" t="s">
        <v>107</v>
      </c>
      <c r="B6" s="28" t="s">
        <v>91</v>
      </c>
      <c r="C6" s="28" t="s">
        <v>108</v>
      </c>
      <c r="D6" s="28" t="s">
        <v>112</v>
      </c>
      <c r="E6" s="30" t="s">
        <v>40</v>
      </c>
    </row>
    <row r="7" customFormat="false" ht="54" hidden="false" customHeight="true" outlineLevel="0" collapsed="false">
      <c r="A7" s="31" t="s">
        <v>139</v>
      </c>
      <c r="B7" s="28" t="s">
        <v>140</v>
      </c>
      <c r="C7" s="28" t="s">
        <v>141</v>
      </c>
      <c r="D7" s="28" t="s">
        <v>145</v>
      </c>
      <c r="E7" s="32" t="s">
        <v>57</v>
      </c>
    </row>
    <row r="8" customFormat="false" ht="54" hidden="false" customHeight="true" outlineLevel="0" collapsed="false">
      <c r="A8" s="31" t="s">
        <v>203</v>
      </c>
      <c r="B8" s="28" t="s">
        <v>196</v>
      </c>
      <c r="C8" s="28" t="s">
        <v>204</v>
      </c>
      <c r="D8" s="28" t="s">
        <v>208</v>
      </c>
      <c r="E8" s="32" t="s">
        <v>57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2"/>
    <col collapsed="false" customWidth="true" hidden="false" outlineLevel="0" max="4" min="4" style="0" width="46"/>
    <col collapsed="false" customWidth="true" hidden="false" outlineLevel="0" max="5" min="5" style="0" width="9"/>
  </cols>
  <sheetData>
    <row r="1" customFormat="false" ht="27.75" hidden="false" customHeight="true" outlineLevel="0" collapsed="false">
      <c r="A1" s="6" t="s">
        <v>374</v>
      </c>
      <c r="B1" s="6"/>
      <c r="C1" s="6"/>
      <c r="D1" s="6"/>
      <c r="E1" s="6"/>
    </row>
    <row r="2" customFormat="false" ht="15.75" hidden="false" customHeight="true" outlineLevel="0" collapsed="false">
      <c r="A2" s="7" t="s">
        <v>375</v>
      </c>
      <c r="B2" s="7"/>
      <c r="C2" s="7"/>
      <c r="D2" s="7"/>
      <c r="E2" s="7"/>
    </row>
    <row r="4" customFormat="false" ht="15" hidden="false" customHeight="false" outlineLevel="0" collapsed="false">
      <c r="A4" s="8" t="s">
        <v>15</v>
      </c>
      <c r="B4" s="8" t="s">
        <v>16</v>
      </c>
      <c r="C4" s="8" t="s">
        <v>17</v>
      </c>
      <c r="D4" s="8" t="s">
        <v>376</v>
      </c>
      <c r="E4" s="8" t="s">
        <v>26</v>
      </c>
    </row>
    <row r="5" customFormat="false" ht="57.75" hidden="false" customHeight="true" outlineLevel="0" collapsed="false">
      <c r="A5" s="31" t="s">
        <v>29</v>
      </c>
      <c r="B5" s="28" t="s">
        <v>30</v>
      </c>
      <c r="C5" s="28" t="s">
        <v>31</v>
      </c>
      <c r="D5" s="28" t="s">
        <v>37</v>
      </c>
      <c r="E5" s="30" t="s">
        <v>40</v>
      </c>
    </row>
    <row r="6" customFormat="false" ht="57.75" hidden="false" customHeight="true" outlineLevel="0" collapsed="false">
      <c r="A6" s="31" t="s">
        <v>43</v>
      </c>
      <c r="B6" s="28" t="s">
        <v>30</v>
      </c>
      <c r="C6" s="28" t="s">
        <v>44</v>
      </c>
      <c r="D6" s="28" t="s">
        <v>47</v>
      </c>
      <c r="E6" s="30" t="s">
        <v>40</v>
      </c>
    </row>
    <row r="7" customFormat="false" ht="57.75" hidden="false" customHeight="true" outlineLevel="0" collapsed="false">
      <c r="A7" s="31" t="s">
        <v>51</v>
      </c>
      <c r="B7" s="28" t="s">
        <v>30</v>
      </c>
      <c r="C7" s="28" t="s">
        <v>52</v>
      </c>
      <c r="D7" s="28" t="s">
        <v>56</v>
      </c>
      <c r="E7" s="32" t="s">
        <v>57</v>
      </c>
    </row>
    <row r="8" customFormat="false" ht="57.75" hidden="false" customHeight="true" outlineLevel="0" collapsed="false">
      <c r="A8" s="31" t="s">
        <v>60</v>
      </c>
      <c r="B8" s="28" t="s">
        <v>30</v>
      </c>
      <c r="C8" s="28" t="s">
        <v>61</v>
      </c>
      <c r="D8" s="28" t="s">
        <v>65</v>
      </c>
      <c r="E8" s="33" t="s">
        <v>66</v>
      </c>
    </row>
    <row r="9" customFormat="false" ht="57.75" hidden="false" customHeight="true" outlineLevel="0" collapsed="false">
      <c r="A9" s="31" t="s">
        <v>68</v>
      </c>
      <c r="B9" s="28" t="s">
        <v>30</v>
      </c>
      <c r="C9" s="28" t="s">
        <v>69</v>
      </c>
      <c r="D9" s="28" t="s">
        <v>72</v>
      </c>
      <c r="E9" s="30" t="s">
        <v>40</v>
      </c>
    </row>
    <row r="10" customFormat="false" ht="57.75" hidden="false" customHeight="true" outlineLevel="0" collapsed="false">
      <c r="A10" s="31" t="s">
        <v>75</v>
      </c>
      <c r="B10" s="28" t="s">
        <v>30</v>
      </c>
      <c r="C10" s="28" t="s">
        <v>76</v>
      </c>
      <c r="D10" s="28" t="s">
        <v>79</v>
      </c>
      <c r="E10" s="32" t="s">
        <v>57</v>
      </c>
    </row>
    <row r="11" customFormat="false" ht="57.75" hidden="false" customHeight="true" outlineLevel="0" collapsed="false">
      <c r="A11" s="31" t="s">
        <v>82</v>
      </c>
      <c r="B11" s="28" t="s">
        <v>30</v>
      </c>
      <c r="C11" s="28" t="s">
        <v>83</v>
      </c>
      <c r="D11" s="28" t="s">
        <v>87</v>
      </c>
      <c r="E11" s="33" t="s">
        <v>66</v>
      </c>
    </row>
    <row r="12" customFormat="false" ht="57.75" hidden="false" customHeight="true" outlineLevel="0" collapsed="false">
      <c r="A12" s="31" t="s">
        <v>90</v>
      </c>
      <c r="B12" s="28" t="s">
        <v>91</v>
      </c>
      <c r="C12" s="28" t="s">
        <v>92</v>
      </c>
      <c r="D12" s="28" t="s">
        <v>95</v>
      </c>
      <c r="E12" s="30" t="s">
        <v>40</v>
      </c>
    </row>
    <row r="13" customFormat="false" ht="57.75" hidden="false" customHeight="true" outlineLevel="0" collapsed="false">
      <c r="A13" s="31" t="s">
        <v>97</v>
      </c>
      <c r="B13" s="28" t="s">
        <v>91</v>
      </c>
      <c r="C13" s="28" t="s">
        <v>98</v>
      </c>
      <c r="D13" s="28" t="s">
        <v>104</v>
      </c>
      <c r="E13" s="30" t="s">
        <v>40</v>
      </c>
    </row>
    <row r="14" customFormat="false" ht="57.75" hidden="false" customHeight="true" outlineLevel="0" collapsed="false">
      <c r="A14" s="31" t="s">
        <v>107</v>
      </c>
      <c r="B14" s="28" t="s">
        <v>91</v>
      </c>
      <c r="C14" s="28" t="s">
        <v>108</v>
      </c>
      <c r="D14" s="28" t="s">
        <v>111</v>
      </c>
      <c r="E14" s="30" t="s">
        <v>40</v>
      </c>
    </row>
    <row r="15" customFormat="false" ht="57.75" hidden="false" customHeight="true" outlineLevel="0" collapsed="false">
      <c r="A15" s="31" t="s">
        <v>113</v>
      </c>
      <c r="B15" s="28" t="s">
        <v>91</v>
      </c>
      <c r="C15" s="28" t="s">
        <v>114</v>
      </c>
      <c r="D15" s="28" t="s">
        <v>117</v>
      </c>
      <c r="E15" s="32" t="s">
        <v>57</v>
      </c>
    </row>
    <row r="16" customFormat="false" ht="57.75" hidden="false" customHeight="true" outlineLevel="0" collapsed="false">
      <c r="A16" s="31" t="s">
        <v>167</v>
      </c>
      <c r="B16" s="28" t="s">
        <v>168</v>
      </c>
      <c r="C16" s="28" t="s">
        <v>169</v>
      </c>
      <c r="D16" s="28" t="s">
        <v>172</v>
      </c>
      <c r="E16" s="32" t="s">
        <v>57</v>
      </c>
    </row>
    <row r="17" customFormat="false" ht="57.75" hidden="false" customHeight="true" outlineLevel="0" collapsed="false">
      <c r="A17" s="31" t="s">
        <v>175</v>
      </c>
      <c r="B17" s="28" t="s">
        <v>168</v>
      </c>
      <c r="C17" s="28" t="s">
        <v>176</v>
      </c>
      <c r="D17" s="28" t="s">
        <v>179</v>
      </c>
      <c r="E17" s="32" t="s">
        <v>57</v>
      </c>
    </row>
    <row r="18" customFormat="false" ht="57.75" hidden="false" customHeight="true" outlineLevel="0" collapsed="false">
      <c r="A18" s="31" t="s">
        <v>188</v>
      </c>
      <c r="B18" s="28" t="s">
        <v>168</v>
      </c>
      <c r="C18" s="28" t="s">
        <v>189</v>
      </c>
      <c r="D18" s="28" t="s">
        <v>192</v>
      </c>
      <c r="E18" s="32" t="s">
        <v>57</v>
      </c>
    </row>
    <row r="19" customFormat="false" ht="57.75" hidden="false" customHeight="true" outlineLevel="0" collapsed="false">
      <c r="A19" s="31" t="s">
        <v>195</v>
      </c>
      <c r="B19" s="28" t="s">
        <v>196</v>
      </c>
      <c r="C19" s="28" t="s">
        <v>197</v>
      </c>
      <c r="D19" s="28" t="s">
        <v>200</v>
      </c>
      <c r="E19" s="32" t="s">
        <v>57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40"/>
    <col collapsed="false" customWidth="true" hidden="false" outlineLevel="0" max="4" min="4" style="0" width="46"/>
  </cols>
  <sheetData>
    <row r="1" customFormat="false" ht="27.75" hidden="false" customHeight="true" outlineLevel="0" collapsed="false">
      <c r="A1" s="6" t="s">
        <v>377</v>
      </c>
      <c r="B1" s="6"/>
      <c r="C1" s="6"/>
      <c r="D1" s="6"/>
    </row>
    <row r="2" customFormat="false" ht="15.75" hidden="false" customHeight="true" outlineLevel="0" collapsed="false">
      <c r="A2" s="7" t="s">
        <v>378</v>
      </c>
      <c r="B2" s="7"/>
      <c r="C2" s="7"/>
      <c r="D2" s="7"/>
    </row>
    <row r="4" customFormat="false" ht="15" hidden="false" customHeight="false" outlineLevel="0" collapsed="false">
      <c r="A4" s="8" t="s">
        <v>379</v>
      </c>
      <c r="B4" s="8" t="s">
        <v>380</v>
      </c>
      <c r="C4" s="8" t="s">
        <v>381</v>
      </c>
      <c r="D4" s="8" t="s">
        <v>382</v>
      </c>
    </row>
    <row r="5" customFormat="false" ht="60" hidden="false" customHeight="true" outlineLevel="0" collapsed="false">
      <c r="A5" s="40" t="s">
        <v>383</v>
      </c>
      <c r="B5" s="41" t="s">
        <v>384</v>
      </c>
      <c r="C5" s="42" t="s">
        <v>385</v>
      </c>
      <c r="D5" s="43" t="s">
        <v>386</v>
      </c>
    </row>
    <row r="6" customFormat="false" ht="60" hidden="false" customHeight="true" outlineLevel="0" collapsed="false">
      <c r="A6" s="40" t="s">
        <v>387</v>
      </c>
      <c r="B6" s="41" t="s">
        <v>388</v>
      </c>
      <c r="C6" s="42" t="s">
        <v>389</v>
      </c>
      <c r="D6" s="43" t="s">
        <v>390</v>
      </c>
    </row>
    <row r="7" customFormat="false" ht="60" hidden="false" customHeight="true" outlineLevel="0" collapsed="false">
      <c r="A7" s="40" t="s">
        <v>391</v>
      </c>
      <c r="B7" s="41" t="s">
        <v>392</v>
      </c>
      <c r="C7" s="42" t="s">
        <v>393</v>
      </c>
      <c r="D7" s="43" t="s">
        <v>394</v>
      </c>
    </row>
    <row r="8" customFormat="false" ht="60" hidden="false" customHeight="true" outlineLevel="0" collapsed="false">
      <c r="A8" s="40" t="s">
        <v>395</v>
      </c>
      <c r="B8" s="41" t="s">
        <v>396</v>
      </c>
      <c r="C8" s="42" t="s">
        <v>397</v>
      </c>
      <c r="D8" s="43" t="s">
        <v>398</v>
      </c>
    </row>
    <row r="9" customFormat="false" ht="60" hidden="false" customHeight="true" outlineLevel="0" collapsed="false">
      <c r="A9" s="40" t="s">
        <v>399</v>
      </c>
      <c r="B9" s="41" t="s">
        <v>400</v>
      </c>
      <c r="C9" s="42" t="s">
        <v>401</v>
      </c>
      <c r="D9" s="43" t="s">
        <v>402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28"/>
    <col collapsed="false" customWidth="true" hidden="false" outlineLevel="0" max="4" min="4" style="0" width="46"/>
  </cols>
  <sheetData>
    <row r="1" customFormat="false" ht="27.75" hidden="false" customHeight="true" outlineLevel="0" collapsed="false">
      <c r="A1" s="6" t="s">
        <v>403</v>
      </c>
      <c r="B1" s="6"/>
      <c r="C1" s="6"/>
      <c r="D1" s="6"/>
    </row>
    <row r="2" customFormat="false" ht="15.75" hidden="false" customHeight="true" outlineLevel="0" collapsed="false">
      <c r="A2" s="7" t="s">
        <v>404</v>
      </c>
      <c r="B2" s="7"/>
      <c r="C2" s="7"/>
      <c r="D2" s="7"/>
    </row>
    <row r="4" customFormat="false" ht="15" hidden="false" customHeight="false" outlineLevel="0" collapsed="false">
      <c r="A4" s="44" t="s">
        <v>15</v>
      </c>
      <c r="B4" s="44" t="s">
        <v>17</v>
      </c>
      <c r="C4" s="44" t="s">
        <v>405</v>
      </c>
      <c r="D4" s="44" t="s">
        <v>27</v>
      </c>
    </row>
    <row r="5" customFormat="false" ht="54" hidden="false" customHeight="true" outlineLevel="0" collapsed="false">
      <c r="A5" s="31" t="s">
        <v>29</v>
      </c>
      <c r="B5" s="28" t="s">
        <v>31</v>
      </c>
      <c r="C5" s="45" t="s">
        <v>42</v>
      </c>
      <c r="D5" s="28" t="s">
        <v>41</v>
      </c>
    </row>
    <row r="6" customFormat="false" ht="54" hidden="false" customHeight="true" outlineLevel="0" collapsed="false">
      <c r="A6" s="31" t="s">
        <v>68</v>
      </c>
      <c r="B6" s="28" t="s">
        <v>69</v>
      </c>
      <c r="C6" s="45" t="s">
        <v>74</v>
      </c>
      <c r="D6" s="28" t="s">
        <v>73</v>
      </c>
    </row>
    <row r="7" customFormat="false" ht="54" hidden="false" customHeight="true" outlineLevel="0" collapsed="false">
      <c r="A7" s="31" t="s">
        <v>82</v>
      </c>
      <c r="B7" s="28" t="s">
        <v>83</v>
      </c>
      <c r="C7" s="45" t="s">
        <v>89</v>
      </c>
      <c r="D7" s="28" t="s">
        <v>88</v>
      </c>
    </row>
    <row r="8" customFormat="false" ht="54" hidden="false" customHeight="true" outlineLevel="0" collapsed="false">
      <c r="A8" s="31" t="s">
        <v>90</v>
      </c>
      <c r="B8" s="28" t="s">
        <v>92</v>
      </c>
      <c r="C8" s="45" t="s">
        <v>42</v>
      </c>
      <c r="D8" s="28" t="s">
        <v>96</v>
      </c>
    </row>
    <row r="9" customFormat="false" ht="54" hidden="false" customHeight="true" outlineLevel="0" collapsed="false">
      <c r="A9" s="31" t="s">
        <v>97</v>
      </c>
      <c r="B9" s="28" t="s">
        <v>98</v>
      </c>
      <c r="C9" s="45" t="s">
        <v>106</v>
      </c>
      <c r="D9" s="28" t="s">
        <v>105</v>
      </c>
    </row>
    <row r="10" customFormat="false" ht="54" hidden="false" customHeight="true" outlineLevel="0" collapsed="false">
      <c r="A10" s="31" t="s">
        <v>188</v>
      </c>
      <c r="B10" s="28" t="s">
        <v>189</v>
      </c>
      <c r="C10" s="45" t="s">
        <v>194</v>
      </c>
      <c r="D10" s="28" t="s">
        <v>193</v>
      </c>
    </row>
    <row r="11" customFormat="false" ht="54" hidden="false" customHeight="true" outlineLevel="0" collapsed="false">
      <c r="A11" s="31" t="s">
        <v>195</v>
      </c>
      <c r="B11" s="28" t="s">
        <v>197</v>
      </c>
      <c r="C11" s="45" t="s">
        <v>202</v>
      </c>
      <c r="D11" s="28" t="s">
        <v>201</v>
      </c>
    </row>
    <row r="12" customFormat="false" ht="54" hidden="false" customHeight="true" outlineLevel="0" collapsed="false">
      <c r="A12" s="31" t="s">
        <v>209</v>
      </c>
      <c r="B12" s="28" t="s">
        <v>210</v>
      </c>
      <c r="C12" s="45" t="s">
        <v>216</v>
      </c>
      <c r="D12" s="28" t="s">
        <v>215</v>
      </c>
    </row>
    <row r="13" customFormat="false" ht="54" hidden="false" customHeight="true" outlineLevel="0" collapsed="false">
      <c r="A13" s="31" t="s">
        <v>217</v>
      </c>
      <c r="B13" s="28" t="s">
        <v>218</v>
      </c>
      <c r="C13" s="45" t="s">
        <v>224</v>
      </c>
      <c r="D13" s="28" t="s">
        <v>223</v>
      </c>
    </row>
    <row r="14" customFormat="false" ht="54" hidden="false" customHeight="true" outlineLevel="0" collapsed="false">
      <c r="A14" s="31" t="s">
        <v>239</v>
      </c>
      <c r="B14" s="28" t="s">
        <v>240</v>
      </c>
      <c r="C14" s="45" t="s">
        <v>246</v>
      </c>
      <c r="D14" s="28" t="s">
        <v>245</v>
      </c>
    </row>
    <row r="15" customFormat="false" ht="54" hidden="false" customHeight="true" outlineLevel="0" collapsed="false">
      <c r="A15" s="31" t="s">
        <v>247</v>
      </c>
      <c r="B15" s="28" t="s">
        <v>248</v>
      </c>
      <c r="C15" s="45" t="s">
        <v>253</v>
      </c>
      <c r="D15" s="28" t="s">
        <v>252</v>
      </c>
    </row>
    <row r="16" customFormat="false" ht="54" hidden="false" customHeight="true" outlineLevel="0" collapsed="false">
      <c r="A16" s="31" t="s">
        <v>297</v>
      </c>
      <c r="B16" s="28" t="s">
        <v>298</v>
      </c>
      <c r="C16" s="45" t="s">
        <v>304</v>
      </c>
      <c r="D16" s="28" t="s">
        <v>303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78"/>
  </cols>
  <sheetData>
    <row r="1" customFormat="false" ht="27.75" hidden="false" customHeight="true" outlineLevel="0" collapsed="false">
      <c r="A1" s="6" t="s">
        <v>406</v>
      </c>
      <c r="B1" s="6"/>
      <c r="C1" s="6"/>
    </row>
    <row r="2" customFormat="false" ht="15.75" hidden="false" customHeight="true" outlineLevel="0" collapsed="false">
      <c r="A2" s="7" t="s">
        <v>407</v>
      </c>
      <c r="B2" s="7"/>
      <c r="C2" s="7"/>
    </row>
    <row r="4" customFormat="false" ht="15" hidden="false" customHeight="false" outlineLevel="0" collapsed="false">
      <c r="A4" s="8" t="s">
        <v>408</v>
      </c>
      <c r="B4" s="8" t="s">
        <v>409</v>
      </c>
      <c r="C4" s="8" t="s">
        <v>410</v>
      </c>
    </row>
    <row r="5" customFormat="false" ht="48" hidden="false" customHeight="true" outlineLevel="0" collapsed="false">
      <c r="A5" s="46" t="s">
        <v>411</v>
      </c>
      <c r="B5" s="30" t="s">
        <v>25</v>
      </c>
      <c r="C5" s="21" t="s">
        <v>412</v>
      </c>
    </row>
    <row r="6" customFormat="false" ht="48" hidden="false" customHeight="true" outlineLevel="0" collapsed="false">
      <c r="A6" s="46" t="s">
        <v>413</v>
      </c>
      <c r="B6" s="32" t="s">
        <v>414</v>
      </c>
      <c r="C6" s="21" t="s">
        <v>415</v>
      </c>
    </row>
    <row r="7" customFormat="false" ht="48" hidden="false" customHeight="true" outlineLevel="0" collapsed="false">
      <c r="A7" s="46" t="s">
        <v>416</v>
      </c>
      <c r="B7" s="32" t="s">
        <v>414</v>
      </c>
      <c r="C7" s="21" t="s">
        <v>417</v>
      </c>
    </row>
    <row r="8" customFormat="false" ht="48" hidden="false" customHeight="true" outlineLevel="0" collapsed="false">
      <c r="A8" s="46" t="s">
        <v>418</v>
      </c>
      <c r="B8" s="32" t="s">
        <v>419</v>
      </c>
      <c r="C8" s="21" t="s">
        <v>420</v>
      </c>
    </row>
    <row r="9" customFormat="false" ht="48" hidden="false" customHeight="true" outlineLevel="0" collapsed="false">
      <c r="A9" s="46" t="s">
        <v>421</v>
      </c>
      <c r="B9" s="32" t="s">
        <v>414</v>
      </c>
      <c r="C9" s="21" t="s">
        <v>422</v>
      </c>
    </row>
    <row r="10" customFormat="false" ht="48" hidden="false" customHeight="true" outlineLevel="0" collapsed="false">
      <c r="A10" s="46" t="s">
        <v>423</v>
      </c>
      <c r="B10" s="32" t="s">
        <v>414</v>
      </c>
      <c r="C10" s="21" t="s">
        <v>424</v>
      </c>
    </row>
    <row r="11" customFormat="false" ht="48" hidden="false" customHeight="true" outlineLevel="0" collapsed="false">
      <c r="A11" s="46" t="s">
        <v>425</v>
      </c>
      <c r="B11" s="30" t="s">
        <v>25</v>
      </c>
      <c r="C11" s="21" t="s">
        <v>426</v>
      </c>
    </row>
    <row r="12" customFormat="false" ht="48" hidden="false" customHeight="true" outlineLevel="0" collapsed="false">
      <c r="A12" s="46" t="s">
        <v>427</v>
      </c>
      <c r="B12" s="30" t="s">
        <v>25</v>
      </c>
      <c r="C12" s="21" t="s">
        <v>428</v>
      </c>
    </row>
    <row r="13" customFormat="false" ht="48" hidden="false" customHeight="true" outlineLevel="0" collapsed="false">
      <c r="A13" s="46" t="s">
        <v>429</v>
      </c>
      <c r="B13" s="32" t="s">
        <v>430</v>
      </c>
      <c r="C13" s="21" t="s">
        <v>431</v>
      </c>
    </row>
    <row r="14" customFormat="false" ht="48" hidden="false" customHeight="true" outlineLevel="0" collapsed="false">
      <c r="A14" s="46" t="s">
        <v>432</v>
      </c>
      <c r="B14" s="32" t="s">
        <v>433</v>
      </c>
      <c r="C14" s="21" t="s">
        <v>434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2026-06-18T22:16:15Z</dcterms:created>
  <dc:creator>openpyxl</dc:creator>
  <dc:description/>
  <dc:language>en-US</dc:language>
  <cp:lastModifiedBy/>
  <dcterms:modified xsi:type="dcterms:W3CDTF">2026-06-18T22:16:15Z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